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urfa\Documents\Codex\2026-05-16\c-users-surfa-documents-11-rpg\RPG-TEST-review\assets\audio\"/>
    </mc:Choice>
  </mc:AlternateContent>
  <xr:revisionPtr revIDLastSave="0" documentId="13_ncr:1_{76BB1D69-AD74-4FD7-B813-9BFE726EE9BF}" xr6:coauthVersionLast="47" xr6:coauthVersionMax="47" xr10:uidLastSave="{00000000-0000-0000-0000-000000000000}"/>
  <bookViews>
    <workbookView xWindow="6876" yWindow="192" windowWidth="16236" windowHeight="11472" activeTab="2" xr2:uid="{00000000-000D-0000-FFFF-FFFF00000000}"/>
  </bookViews>
  <sheets>
    <sheet name="管理サマリー" sheetId="1" r:id="rId1"/>
    <sheet name="BGM一覧" sheetId="2" r:id="rId2"/>
    <sheet name="SE一覧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B15" i="1"/>
  <c r="C14" i="1"/>
  <c r="B14" i="1"/>
  <c r="C13" i="1"/>
  <c r="B13" i="1"/>
  <c r="C12" i="1"/>
  <c r="B12" i="1"/>
  <c r="C11" i="1"/>
  <c r="B11" i="1"/>
  <c r="C10" i="1"/>
  <c r="B10" i="1"/>
  <c r="C5" i="1"/>
  <c r="A5" i="1"/>
  <c r="D15" i="1" l="1"/>
  <c r="D14" i="1"/>
  <c r="D10" i="1"/>
  <c r="D13" i="1"/>
  <c r="D12" i="1"/>
  <c r="D11" i="1"/>
  <c r="G5" i="1"/>
  <c r="E5" i="1"/>
</calcChain>
</file>

<file path=xl/sharedStrings.xml><?xml version="1.0" encoding="utf-8"?>
<sst xmlns="http://schemas.openxmlformats.org/spreadsheetml/2006/main" count="879" uniqueCount="370">
  <si>
    <t>RPG-TEST OGG音源 差し替え管理</t>
  </si>
  <si>
    <t>BGM 42件・SE 34件、合計76件を管理します。各一覧の「現在状態」を更新すると進捗集計へ反映されます。</t>
  </si>
  <si>
    <t>総音源数</t>
  </si>
  <si>
    <t>差し替え済み</t>
  </si>
  <si>
    <t>未差し替え</t>
  </si>
  <si>
    <t>完了率</t>
  </si>
  <si>
    <t>進捗内訳</t>
  </si>
  <si>
    <t>運用メモ</t>
  </si>
  <si>
    <t>状態</t>
  </si>
  <si>
    <t>BGM</t>
  </si>
  <si>
    <t>SE</t>
  </si>
  <si>
    <t>合計</t>
  </si>
  <si>
    <t>1. 完成音源を一覧のファイル名へ変更
2. 記載された配置先へ上書き
3. 現在状態を差し替え済みに変更
4. 差替日・入手元・ライセンスを記録
5. 音量とゲーム内動作を確認
初期音量：フィールドBGM 30%／戦闘BGM 30%
UI・メニューSE 5%／戦闘SE 5%／フィールド・イベントSE 5%</t>
  </si>
  <si>
    <t>無音プレースホルダー</t>
  </si>
  <si>
    <t>候補選定中</t>
  </si>
  <si>
    <t>入手済み</t>
  </si>
  <si>
    <t>加工中</t>
  </si>
  <si>
    <t>採用見送り</t>
  </si>
  <si>
    <t>音量区分別の件数</t>
  </si>
  <si>
    <t>音量区分</t>
  </si>
  <si>
    <t>件数</t>
  </si>
  <si>
    <t>初期値</t>
  </si>
  <si>
    <t>フィールドBGM（戦闘以外）</t>
  </si>
  <si>
    <t>30%</t>
  </si>
  <si>
    <t>戦闘BGM</t>
  </si>
  <si>
    <t>UI・メニューSE</t>
  </si>
  <si>
    <t>5%</t>
  </si>
  <si>
    <t>戦闘SE</t>
  </si>
  <si>
    <t>フィールド・イベントSE</t>
  </si>
  <si>
    <t>RPG-TEST OGG音源管理表｜BGM</t>
  </si>
  <si>
    <t>戦闘BGMとフィールドBGM（戦闘以外）は個別に音量調整されます。同名OGGで上書きし、ループ・音量・途中再開を確認してください。</t>
  </si>
  <si>
    <t>No.</t>
  </si>
  <si>
    <t>用途分類</t>
  </si>
  <si>
    <t>ファイル名</t>
  </si>
  <si>
    <t>用途</t>
  </si>
  <si>
    <t>マニフェストキー</t>
  </si>
  <si>
    <t>配置先</t>
  </si>
  <si>
    <t>ループ</t>
  </si>
  <si>
    <t>現在状態</t>
  </si>
  <si>
    <t>差替日</t>
  </si>
  <si>
    <t>入手元・制作者</t>
  </si>
  <si>
    <t>ライセンス</t>
  </si>
  <si>
    <t>音量確認</t>
  </si>
  <si>
    <t>ループ確認</t>
  </si>
  <si>
    <t>ゲーム内確認</t>
  </si>
  <si>
    <t>採用音源名</t>
  </si>
  <si>
    <t>備考</t>
  </si>
  <si>
    <t>フィールド</t>
  </si>
  <si>
    <t>bgm_field_world.ogg</t>
  </si>
  <si>
    <t>世界フィールド</t>
  </si>
  <si>
    <t>field_world</t>
  </si>
  <si>
    <t>assets/audio/bgm/bgm_field_world.ogg</t>
  </si>
  <si>
    <t>あり</t>
  </si>
  <si>
    <t>未確認</t>
  </si>
  <si>
    <t>bgm_field_abyss_outer.ogg</t>
  </si>
  <si>
    <t>深淵の魔窟 外縁</t>
  </si>
  <si>
    <t>field_abyss_outer</t>
  </si>
  <si>
    <t>assets/audio/bgm/bgm_field_abyss_outer.ogg</t>
  </si>
  <si>
    <t>bgm_field_ship.ogg</t>
  </si>
  <si>
    <t>船で移動中</t>
  </si>
  <si>
    <t>field_ship</t>
  </si>
  <si>
    <t>assets/audio/bgm/bgm_field_ship.ogg</t>
  </si>
  <si>
    <t>bgm_field_wing.ogg</t>
  </si>
  <si>
    <t>翼で飛行中</t>
  </si>
  <si>
    <t>field_wing</t>
  </si>
  <si>
    <t>assets/audio/bgm/bgm_field_wing.ogg</t>
  </si>
  <si>
    <t>町</t>
  </si>
  <si>
    <t>bgm_town_start_village.ogg</t>
  </si>
  <si>
    <t>リュミナ村</t>
  </si>
  <si>
    <t>town_start_village</t>
  </si>
  <si>
    <t>assets/audio/bgm/bgm_town_start_village.ogg</t>
  </si>
  <si>
    <t>bgm_town_fire_village.ogg</t>
  </si>
  <si>
    <t>炎の里イグニシア</t>
  </si>
  <si>
    <t>town_fire_village</t>
  </si>
  <si>
    <t>assets/audio/bgm/bgm_town_fire_village.ogg</t>
  </si>
  <si>
    <t>bgm_town_wind_village.ogg</t>
  </si>
  <si>
    <t>風の集落カザリア</t>
  </si>
  <si>
    <t>town_wind_village</t>
  </si>
  <si>
    <t>assets/audio/bgm/bgm_town_wind_village.ogg</t>
  </si>
  <si>
    <t>bgm_town_water_city.ogg</t>
  </si>
  <si>
    <t>水上都市リヴァリア</t>
  </si>
  <si>
    <t>town_water_city</t>
  </si>
  <si>
    <t>assets/audio/bgm/bgm_town_water_city.ogg</t>
  </si>
  <si>
    <t>拠点</t>
  </si>
  <si>
    <t>bgm_base_big_tower.ogg</t>
  </si>
  <si>
    <t>大灯台</t>
  </si>
  <si>
    <t>base_big_tower</t>
  </si>
  <si>
    <t>assets/audio/bgm/bgm_base_big_tower.ogg</t>
  </si>
  <si>
    <t>bgm_base_thunder_fort.ogg</t>
  </si>
  <si>
    <t>ライザーク要塞</t>
  </si>
  <si>
    <t>base_thunder_fort</t>
  </si>
  <si>
    <t>assets/audio/bgm/bgm_base_thunder_fort.ogg</t>
  </si>
  <si>
    <t>bgm_base_light_palace.ogg</t>
  </si>
  <si>
    <t>光の宮殿グランプリズマ</t>
  </si>
  <si>
    <t>base_light_palace</t>
  </si>
  <si>
    <t>assets/audio/bgm/bgm_base_light_palace.ogg</t>
  </si>
  <si>
    <t>bgm_base_dark_castle.ogg</t>
  </si>
  <si>
    <t>魔王城ガルヴァニア</t>
  </si>
  <si>
    <t>base_dark_castle</t>
  </si>
  <si>
    <t>assets/audio/bgm/bgm_base_dark_castle.ogg</t>
  </si>
  <si>
    <t>ダンジョン</t>
  </si>
  <si>
    <t>bgm_dungeon_start_cave.ogg</t>
  </si>
  <si>
    <t>はじまりの洞窟</t>
  </si>
  <si>
    <t>dungeon_start_cave</t>
  </si>
  <si>
    <t>assets/audio/bgm/bgm_dungeon_start_cave.ogg</t>
  </si>
  <si>
    <t>bgm_dungeon_ignis_volcano.ogg</t>
  </si>
  <si>
    <t>イグナ火山</t>
  </si>
  <si>
    <t>dungeon_ignis_volcano</t>
  </si>
  <si>
    <t>assets/audio/bgm/bgm_dungeon_ignis_volcano.ogg</t>
  </si>
  <si>
    <t>bgm_dungeon_forbidden_forest.ogg</t>
  </si>
  <si>
    <t>禁忌の森</t>
  </si>
  <si>
    <t>dungeon_forbidden_forest</t>
  </si>
  <si>
    <t>assets/audio/bgm/bgm_dungeon_forbidden_forest.ogg</t>
  </si>
  <si>
    <t>bgm_dungeon_wind_temple.ogg</t>
  </si>
  <si>
    <t>風の神殿</t>
  </si>
  <si>
    <t>dungeon_wind_temple</t>
  </si>
  <si>
    <t>assets/audio/bgm/bgm_dungeon_wind_temple.ogg</t>
  </si>
  <si>
    <t>bgm_dungeon_seabed_temple.ogg</t>
  </si>
  <si>
    <t>海底神殿</t>
  </si>
  <si>
    <t>dungeon_seabed_temple</t>
  </si>
  <si>
    <t>assets/audio/bgm/bgm_dungeon_seabed_temple.ogg</t>
  </si>
  <si>
    <t>bgm_dungeon_big_tower.ogg</t>
  </si>
  <si>
    <t>大灯台 上層</t>
  </si>
  <si>
    <t>dungeon_big_tower</t>
  </si>
  <si>
    <t>assets/audio/bgm/bgm_dungeon_big_tower.ogg</t>
  </si>
  <si>
    <t>bgm_dungeon_thunder_fort.ogg</t>
  </si>
  <si>
    <t>ライザーク要塞 内部</t>
  </si>
  <si>
    <t>dungeon_thunder_fort</t>
  </si>
  <si>
    <t>assets/audio/bgm/bgm_dungeon_thunder_fort.ogg</t>
  </si>
  <si>
    <t>bgm_dungeon_light_palace.ogg</t>
  </si>
  <si>
    <t>光の宮殿 内部</t>
  </si>
  <si>
    <t>dungeon_light_palace</t>
  </si>
  <si>
    <t>assets/audio/bgm/bgm_dungeon_light_palace.ogg</t>
  </si>
  <si>
    <t>bgm_dungeon_galvania_cave.ogg</t>
  </si>
  <si>
    <t>ガルヴァニア洞窟</t>
  </si>
  <si>
    <t>dungeon_galvania_cave</t>
  </si>
  <si>
    <t>assets/audio/bgm/bgm_dungeon_galvania_cave.ogg</t>
  </si>
  <si>
    <t>bgm_dungeon_dark_castle.ogg</t>
  </si>
  <si>
    <t>魔王城 内部</t>
  </si>
  <si>
    <t>dungeon_dark_castle</t>
  </si>
  <si>
    <t>assets/audio/bgm/bgm_dungeon_dark_castle.ogg</t>
  </si>
  <si>
    <t>bgm_dungeon_forest_wind_hole.ogg</t>
  </si>
  <si>
    <t>森の風穴</t>
  </si>
  <si>
    <t>dungeon_forest_wind_hole</t>
  </si>
  <si>
    <t>assets/audio/bgm/bgm_dungeon_forest_wind_hole.ogg</t>
  </si>
  <si>
    <t>bgm_dungeon_crena_limestone.ogg</t>
  </si>
  <si>
    <t>クレナ鍾乳洞</t>
  </si>
  <si>
    <t>dungeon_crena_limestone</t>
  </si>
  <si>
    <t>assets/audio/bgm/bgm_dungeon_crena_limestone.ogg</t>
  </si>
  <si>
    <t>bgm_dungeon_dark_shrine.ogg</t>
  </si>
  <si>
    <t>闇の神殿跡地</t>
  </si>
  <si>
    <t>dungeon_dark_shrine</t>
  </si>
  <si>
    <t>assets/audio/bgm/bgm_dungeon_dark_shrine.ogg</t>
  </si>
  <si>
    <t>bgm_dungeon_grezelia.ogg</t>
  </si>
  <si>
    <t>禁則地グレゼリア</t>
  </si>
  <si>
    <t>dungeon_grezelia</t>
  </si>
  <si>
    <t>assets/audio/bgm/bgm_dungeon_grezelia.ogg</t>
  </si>
  <si>
    <t>bgm_dungeon_ruined_shrine.ogg</t>
  </si>
  <si>
    <t>朽ちた祠</t>
  </si>
  <si>
    <t>dungeon_ruined_shrine</t>
  </si>
  <si>
    <t>assets/audio/bgm/bgm_dungeon_ruined_shrine.ogg</t>
  </si>
  <si>
    <t>bgm_dungeon_trial_island.ogg</t>
  </si>
  <si>
    <t>試練の島</t>
  </si>
  <si>
    <t>dungeon_trial_island</t>
  </si>
  <si>
    <t>assets/audio/bgm/bgm_dungeon_trial_island.ogg</t>
  </si>
  <si>
    <t>bgm_dungeon_summit_temple.ogg</t>
  </si>
  <si>
    <t>山頂神殿</t>
  </si>
  <si>
    <t>dungeon_summit_temple</t>
  </si>
  <si>
    <t>assets/audio/bgm/bgm_dungeon_summit_temple.ogg</t>
  </si>
  <si>
    <t>bgm_dungeon_abyss.ogg</t>
  </si>
  <si>
    <t>深淵の魔窟</t>
  </si>
  <si>
    <t>dungeon_abyss</t>
  </si>
  <si>
    <t>assets/audio/bgm/bgm_dungeon_abyss.ogg</t>
  </si>
  <si>
    <t>施設</t>
  </si>
  <si>
    <t>bgm_facility_inn.ogg</t>
  </si>
  <si>
    <t>宿屋</t>
  </si>
  <si>
    <t>facility_inn</t>
  </si>
  <si>
    <t>assets/audio/bgm/bgm_facility_inn.ogg</t>
  </si>
  <si>
    <t>bgm_facility_shop.ogg</t>
  </si>
  <si>
    <t>商店</t>
  </si>
  <si>
    <t>facility_shop</t>
  </si>
  <si>
    <t>assets/audio/bgm/bgm_facility_shop.ogg</t>
  </si>
  <si>
    <t>bgm_facility_blacksmith.ogg</t>
  </si>
  <si>
    <t>鍛冶屋</t>
  </si>
  <si>
    <t>facility_blacksmith</t>
  </si>
  <si>
    <t>assets/audio/bgm/bgm_facility_blacksmith.ogg</t>
  </si>
  <si>
    <t>bgm_facility_alchemy.ogg</t>
  </si>
  <si>
    <t>錬金所</t>
  </si>
  <si>
    <t>facility_alchemy</t>
  </si>
  <si>
    <t>assets/audio/bgm/bgm_facility_alchemy.ogg</t>
  </si>
  <si>
    <t>bgm_facility_casino.ogg</t>
  </si>
  <si>
    <t>カジノ</t>
  </si>
  <si>
    <t>facility_casino</t>
  </si>
  <si>
    <t>assets/audio/bgm/bgm_facility_casino.ogg</t>
  </si>
  <si>
    <t>bgm_facility_medal.ogg</t>
  </si>
  <si>
    <t>メダル交換所</t>
  </si>
  <si>
    <t>facility_medal</t>
  </si>
  <si>
    <t>assets/audio/bgm/bgm_facility_medal.ogg</t>
  </si>
  <si>
    <t>戦闘</t>
  </si>
  <si>
    <t>bgm_battle_normal.ogg</t>
  </si>
  <si>
    <t>通常戦闘</t>
  </si>
  <si>
    <t>battle_normal</t>
  </si>
  <si>
    <t>assets/audio/bgm/bgm_battle_normal.ogg</t>
  </si>
  <si>
    <t>bgm_battle_midboss.ogg</t>
  </si>
  <si>
    <t>中ボス戦闘</t>
  </si>
  <si>
    <t>battle_midboss</t>
  </si>
  <si>
    <t>assets/audio/bgm/bgm_battle_midboss.ogg</t>
  </si>
  <si>
    <t>bgm_battle_bigboss.ogg</t>
  </si>
  <si>
    <t>大ボス戦闘</t>
  </si>
  <si>
    <t>battle_bigboss</t>
  </si>
  <si>
    <t>assets/audio/bgm/bgm_battle_bigboss.ogg</t>
  </si>
  <si>
    <t>bgm_battle_finalboss.ogg</t>
  </si>
  <si>
    <t>ラスボス戦闘</t>
  </si>
  <si>
    <t>battle_finalboss</t>
  </si>
  <si>
    <t>assets/audio/bgm/bgm_battle_finalboss.ogg</t>
  </si>
  <si>
    <t>bgm_battle_secretboss.ogg</t>
  </si>
  <si>
    <t>裏ボス戦闘</t>
  </si>
  <si>
    <t>battle_secretboss</t>
  </si>
  <si>
    <t>assets/audio/bgm/bgm_battle_secretboss.ogg</t>
  </si>
  <si>
    <t>bgm_battle_wipeout.ogg</t>
  </si>
  <si>
    <t>全滅時</t>
  </si>
  <si>
    <t>battle_wipeout</t>
  </si>
  <si>
    <t>assets/audio/bgm/bgm_battle_wipeout.ogg</t>
  </si>
  <si>
    <t>RPG-TEST OGG音源管理表｜SE</t>
  </si>
  <si>
    <t>UI・メニューSE、戦闘SE、フィールド・イベントSEは個別に音量調整されます。開始SE・勝利SE・レベルアップSEは音源終了後に処理が進みます。</t>
  </si>
  <si>
    <t>クールダウン(ms)</t>
  </si>
  <si>
    <t>発音タイミング</t>
  </si>
  <si>
    <t>イベント</t>
  </si>
  <si>
    <t>se_event_effect.ogg</t>
  </si>
  <si>
    <t>イベントエフェクト</t>
  </si>
  <si>
    <t>event_effect</t>
  </si>
  <si>
    <t>assets/audio/se/se_event_effect.ogg</t>
  </si>
  <si>
    <t>se_heal.ogg</t>
  </si>
  <si>
    <t>回復</t>
  </si>
  <si>
    <t>heal</t>
  </si>
  <si>
    <t>assets/audio/se/se_heal.ogg</t>
  </si>
  <si>
    <t>se_heal_spring.ogg</t>
  </si>
  <si>
    <t>回復の泉</t>
  </si>
  <si>
    <t>heal_spring</t>
  </si>
  <si>
    <t>assets/audio/se/se_heal_spring.ogg</t>
  </si>
  <si>
    <t>se_chest_open.ogg</t>
  </si>
  <si>
    <t>宝箱開封</t>
  </si>
  <si>
    <t>chest_open</t>
  </si>
  <si>
    <t>assets/audio/se/se_chest_open.ogg</t>
  </si>
  <si>
    <t>se_floor_move.ogg</t>
  </si>
  <si>
    <t>フロア移動</t>
  </si>
  <si>
    <t>floor_move</t>
  </si>
  <si>
    <t>assets/audio/se/se_floor_move.ogg</t>
  </si>
  <si>
    <t>se_stairs.ogg</t>
  </si>
  <si>
    <t>階段移動</t>
  </si>
  <si>
    <t>stairs</t>
  </si>
  <si>
    <t>assets/audio/se/se_stairs.ogg</t>
  </si>
  <si>
    <t>se_warp.ogg</t>
  </si>
  <si>
    <t>ワープ床</t>
  </si>
  <si>
    <t>warp</t>
  </si>
  <si>
    <t>assets/audio/se/se_warp.ogg</t>
  </si>
  <si>
    <t>se_damage_floor.ogg</t>
  </si>
  <si>
    <t>ダメージ床</t>
  </si>
  <si>
    <t>damage_floor</t>
  </si>
  <si>
    <t>assets/audio/se/se_damage_floor.ogg</t>
  </si>
  <si>
    <t>se_switch.ogg</t>
  </si>
  <si>
    <t>スイッチ起動</t>
  </si>
  <si>
    <t>switch</t>
  </si>
  <si>
    <t>assets/audio/se/se_switch.ogg</t>
  </si>
  <si>
    <t>se_ice_slide.ogg</t>
  </si>
  <si>
    <t>氷床</t>
  </si>
  <si>
    <t>ice_slide</t>
  </si>
  <si>
    <t>assets/audio/se/se_ice_slide.ogg</t>
  </si>
  <si>
    <t>se_wall_bump.ogg</t>
  </si>
  <si>
    <t>壁衝突</t>
  </si>
  <si>
    <t>wall_bump</t>
  </si>
  <si>
    <t>UI・メニュー</t>
  </si>
  <si>
    <t>se_menu_confirm.ogg</t>
  </si>
  <si>
    <t>メニュー決定</t>
  </si>
  <si>
    <t>menu_confirm</t>
  </si>
  <si>
    <t>assets/audio/se/se_menu_confirm.ogg</t>
  </si>
  <si>
    <t>se_menu_cancel.ogg</t>
  </si>
  <si>
    <t>メニューキャンセル／戻る</t>
  </si>
  <si>
    <t>menu_cancel</t>
  </si>
  <si>
    <t>assets/audio/se/se_menu_cancel.ogg</t>
  </si>
  <si>
    <t>se_dialogue.ogg</t>
  </si>
  <si>
    <t>会話送り</t>
  </si>
  <si>
    <t>dialogue</t>
  </si>
  <si>
    <t>assets/audio/se/se_dialogue.ogg</t>
  </si>
  <si>
    <t>se_ui_item_heal.ogg</t>
  </si>
  <si>
    <t>道具使用（回復系）</t>
  </si>
  <si>
    <t>ui_item_heal</t>
  </si>
  <si>
    <t>assets/audio/se/se_ui_item_heal.ogg</t>
  </si>
  <si>
    <t>se_ui_item_move.ogg</t>
  </si>
  <si>
    <t>道具使用（移動系）</t>
  </si>
  <si>
    <t>ui_item_move</t>
  </si>
  <si>
    <t>assets/audio/se/se_ui_item_move.ogg</t>
  </si>
  <si>
    <t>se_ui_item_growth.ogg</t>
  </si>
  <si>
    <t>道具使用（育成系）</t>
  </si>
  <si>
    <t>ui_item_growth</t>
  </si>
  <si>
    <t>assets/audio/se/se_ui_item_growth.ogg</t>
  </si>
  <si>
    <t>se_ui_skill_heal_revive.ogg</t>
  </si>
  <si>
    <t>スキル使用（回復・蘇生）</t>
  </si>
  <si>
    <t>ui_skill_heal_revive</t>
  </si>
  <si>
    <t>assets/audio/se/se_ui_skill_heal_revive.ogg</t>
  </si>
  <si>
    <t>se_ui_blacksmith_start.ogg</t>
  </si>
  <si>
    <t>鍛冶開始</t>
  </si>
  <si>
    <t>ui_blacksmith_start</t>
  </si>
  <si>
    <t>assets/audio/se/se_ui_blacksmith_start.ogg</t>
  </si>
  <si>
    <t>se_ui_alchemy_start.ogg</t>
  </si>
  <si>
    <t>錬金開始</t>
  </si>
  <si>
    <t>ui_alchemy_start</t>
  </si>
  <si>
    <t>assets/audio/se/se_ui_alchemy_start.ogg</t>
  </si>
  <si>
    <t>se_ui_shop_buy.ogg</t>
  </si>
  <si>
    <t>購入</t>
  </si>
  <si>
    <t>ui_shop_buy</t>
  </si>
  <si>
    <t>assets/audio/se/se_ui_shop_buy.ogg</t>
  </si>
  <si>
    <t>se_ui_shop_sell.ogg</t>
  </si>
  <si>
    <t>売却</t>
  </si>
  <si>
    <t>ui_shop_sell</t>
  </si>
  <si>
    <t>assets/audio/se/se_ui_shop_sell.ogg</t>
  </si>
  <si>
    <t>se_encounter_start.ogg</t>
  </si>
  <si>
    <t>戦闘開始</t>
  </si>
  <si>
    <t>encounter_start</t>
  </si>
  <si>
    <t>assets/audio/se/se_encounter_start.ogg</t>
  </si>
  <si>
    <t>se_battle_attack.ogg</t>
  </si>
  <si>
    <t>通常攻撃</t>
  </si>
  <si>
    <t>battle_attack</t>
  </si>
  <si>
    <t>assets/audio/se/se_battle_attack.ogg</t>
  </si>
  <si>
    <t>se_battle_skill_magic.ogg</t>
  </si>
  <si>
    <t>魔法スキル発動</t>
  </si>
  <si>
    <t>battle_skill_magic</t>
  </si>
  <si>
    <t>assets/audio/se/se_battle_skill_magic.ogg</t>
  </si>
  <si>
    <t>se_battle_skill_breath.ogg</t>
  </si>
  <si>
    <t>ブレススキル発動</t>
  </si>
  <si>
    <t>battle_skill_breath</t>
  </si>
  <si>
    <t>assets/audio/se/se_battle_skill_breath.ogg</t>
  </si>
  <si>
    <t>se_battle_skill_physical.ogg</t>
  </si>
  <si>
    <t>物理スキル発動</t>
  </si>
  <si>
    <t>battle_skill_physical</t>
  </si>
  <si>
    <t>assets/audio/se/se_battle_skill_physical.ogg</t>
  </si>
  <si>
    <t>se_battle_skill_other.ogg</t>
  </si>
  <si>
    <t>その他スキル発動</t>
  </si>
  <si>
    <t>battle_skill_other</t>
  </si>
  <si>
    <t>assets/audio/se/se_battle_skill_other.ogg</t>
  </si>
  <si>
    <t>se_battle_item.ogg</t>
  </si>
  <si>
    <t>戦闘中のアイテム使用</t>
  </si>
  <si>
    <t>battle_item</t>
  </si>
  <si>
    <t>assets/audio/se/se_battle_item.ogg</t>
  </si>
  <si>
    <t>se_battle_damage.ogg</t>
  </si>
  <si>
    <t>ダメージ</t>
  </si>
  <si>
    <t>battle_damage</t>
  </si>
  <si>
    <t>assets/audio/se/se_battle_damage.ogg</t>
  </si>
  <si>
    <t>se_battle_heal.ogg</t>
  </si>
  <si>
    <t>戦闘中の回復</t>
  </si>
  <si>
    <t>battle_heal</t>
  </si>
  <si>
    <t>assets/audio/se/se_battle_heal.ogg</t>
  </si>
  <si>
    <t>se_battle_critical.ogg</t>
  </si>
  <si>
    <t>クリティカルダメージ</t>
  </si>
  <si>
    <t>battle_critical</t>
  </si>
  <si>
    <t>assets/audio/se/se_battle_critical.ogg</t>
  </si>
  <si>
    <t>se_battle_victory.ogg</t>
  </si>
  <si>
    <t>戦闘勝利</t>
  </si>
  <si>
    <t>battle_victory</t>
  </si>
  <si>
    <t>assets/audio/se/se_battle_victory.ogg</t>
  </si>
  <si>
    <t>se_battle_level_up.ogg</t>
  </si>
  <si>
    <t>レベルアップ</t>
  </si>
  <si>
    <t>battle_level_up</t>
  </si>
  <si>
    <t>assets/audio/se/se_battle_level_up.ogg</t>
  </si>
  <si>
    <t>魔王魂</t>
    <rPh sb="0" eb="3">
      <t>マオウダマシイ</t>
    </rPh>
    <phoneticPr fontId="8"/>
  </si>
  <si>
    <t>OK</t>
  </si>
  <si>
    <t>システム18</t>
  </si>
  <si>
    <t>システム36</t>
    <phoneticPr fontId="9"/>
  </si>
  <si>
    <t>assets/audio/se/se_wall_bump.ogg</t>
    <phoneticPr fontId="9"/>
  </si>
  <si>
    <r>
      <rPr>
        <sz val="11"/>
        <rFont val="ＭＳ ゴシック"/>
        <family val="3"/>
        <charset val="128"/>
      </rPr>
      <t>システム</t>
    </r>
    <r>
      <rPr>
        <sz val="11"/>
        <rFont val="Arial"/>
        <family val="2"/>
      </rPr>
      <t>49</t>
    </r>
    <r>
      <rPr>
        <sz val="11"/>
        <rFont val="Carlito"/>
        <family val="3"/>
        <charset val="128"/>
      </rPr>
      <t>→23</t>
    </r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</si>
</sst>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3">
    <font>
      <sz val="11"/>
      <name val="Carlito"/>
    </font>
    <font>
      <b/>
      <sz val="18"/>
      <color rgb="FFFFFFFF"/>
      <name val="Carlito"/>
    </font>
    <font>
      <sz val="10"/>
      <color rgb="FF1F2937"/>
      <name val="Carlito"/>
    </font>
    <font>
      <b/>
      <sz val="11"/>
      <color rgb="FFFFFFFF"/>
      <name val="Carlito"/>
    </font>
    <font>
      <b/>
      <sz val="20"/>
      <color rgb="FF18324A"/>
      <name val="Carlito"/>
    </font>
    <font>
      <b/>
      <sz val="13"/>
      <color rgb="FFFFFFFF"/>
      <name val="Carlito"/>
    </font>
    <font>
      <sz val="11"/>
      <color rgb="FF1F2937"/>
      <name val="Carlito"/>
    </font>
    <font>
      <sz val="11"/>
      <name val="Carlito"/>
    </font>
    <font>
      <sz val="18"/>
      <color theme="3"/>
      <name val="Calibri"/>
      <family val="2"/>
      <charset val="128"/>
      <scheme val="major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Arial"/>
      <family val="2"/>
    </font>
    <font>
      <sz val="11"/>
      <name val="Carlito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18324A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 patternType="solid">
        <fgColor rgb="FFF3F5F7"/>
      </patternFill>
    </fill>
    <fill>
      <patternFill patternType="solid">
        <fgColor rgb="FFED7D31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0">
    <xf numFmtId="0" fontId="0" fillId="0" borderId="0" xfId="0"/>
    <xf numFmtId="0" fontId="3" fillId="4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0" fontId="0" fillId="0" borderId="1" xfId="1" applyFont="1" applyBorder="1" applyAlignment="1">
      <alignment vertical="center" wrapText="1"/>
    </xf>
    <xf numFmtId="0" fontId="0" fillId="5" borderId="0" xfId="1" applyFont="1" applyFill="1" applyAlignment="1">
      <alignment vertical="center" wrapText="1"/>
    </xf>
    <xf numFmtId="0" fontId="0" fillId="5" borderId="1" xfId="1" applyFont="1" applyFill="1" applyBorder="1" applyAlignment="1">
      <alignment vertical="center" wrapText="1"/>
    </xf>
    <xf numFmtId="176" fontId="0" fillId="5" borderId="0" xfId="1" applyNumberFormat="1" applyFont="1" applyFill="1" applyAlignment="1">
      <alignment vertical="center" wrapText="1"/>
    </xf>
    <xf numFmtId="176" fontId="0" fillId="5" borderId="1" xfId="1" applyNumberFormat="1" applyFont="1" applyFill="1" applyBorder="1" applyAlignment="1">
      <alignment vertical="center" wrapText="1"/>
    </xf>
    <xf numFmtId="0" fontId="3" fillId="4" borderId="0" xfId="1" applyFont="1" applyFill="1" applyAlignment="1">
      <alignment horizontal="center"/>
    </xf>
    <xf numFmtId="0" fontId="3" fillId="6" borderId="0" xfId="1" applyFont="1" applyFill="1" applyAlignment="1">
      <alignment horizontal="center"/>
    </xf>
    <xf numFmtId="0" fontId="1" fillId="2" borderId="0" xfId="1" applyFont="1" applyFill="1" applyAlignment="1">
      <alignment vertical="center"/>
    </xf>
    <xf numFmtId="0" fontId="0" fillId="0" borderId="0" xfId="0"/>
    <xf numFmtId="0" fontId="2" fillId="3" borderId="0" xfId="1" applyFont="1" applyFill="1" applyAlignment="1">
      <alignment vertical="center" wrapText="1"/>
    </xf>
    <xf numFmtId="0" fontId="6" fillId="7" borderId="0" xfId="1" applyFont="1" applyFill="1" applyAlignment="1">
      <alignment vertical="top" wrapText="1"/>
    </xf>
    <xf numFmtId="0" fontId="5" fillId="2" borderId="0" xfId="1" applyFont="1" applyFill="1"/>
    <xf numFmtId="0" fontId="4" fillId="3" borderId="0" xfId="1" applyFont="1" applyFill="1" applyAlignment="1">
      <alignment horizontal="center" vertical="center"/>
    </xf>
    <xf numFmtId="9" fontId="4" fillId="3" borderId="0" xfId="1" applyNumberFormat="1" applyFont="1" applyFill="1" applyAlignment="1">
      <alignment horizontal="center" vertical="center"/>
    </xf>
    <xf numFmtId="0" fontId="3" fillId="4" borderId="0" xfId="1" applyFont="1" applyFill="1" applyAlignment="1">
      <alignment horizontal="center"/>
    </xf>
    <xf numFmtId="0" fontId="12" fillId="5" borderId="0" xfId="1" applyFont="1" applyFill="1" applyAlignment="1">
      <alignment vertical="center" wrapText="1"/>
    </xf>
    <xf numFmtId="0" fontId="10" fillId="5" borderId="0" xfId="1" applyFont="1" applyFill="1" applyAlignment="1">
      <alignment vertical="center" wrapText="1"/>
    </xf>
  </cellXfs>
  <cellStyles count="2">
    <cellStyle name="Normal" xfId="1" xr:uid="{00000000-0005-0000-0000-000000000000}"/>
    <cellStyle name="標準" xfId="0" builtinId="0"/>
  </cellStyles>
  <dxfs count="4">
    <dxf>
      <font>
        <color rgb="FF9C5700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color rgb="FF9C5700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GMInventoryTable" displayName="BGMInventoryTable" ref="A4:Q46">
  <tableColumns count="17">
    <tableColumn id="1" xr3:uid="{00000000-0010-0000-0000-000001000000}" name="No."/>
    <tableColumn id="2" xr3:uid="{00000000-0010-0000-0000-000002000000}" name="音量区分"/>
    <tableColumn id="3" xr3:uid="{00000000-0010-0000-0000-000003000000}" name="用途分類"/>
    <tableColumn id="4" xr3:uid="{00000000-0010-0000-0000-000004000000}" name="ファイル名"/>
    <tableColumn id="5" xr3:uid="{00000000-0010-0000-0000-000005000000}" name="用途"/>
    <tableColumn id="6" xr3:uid="{00000000-0010-0000-0000-000006000000}" name="マニフェストキー"/>
    <tableColumn id="7" xr3:uid="{00000000-0010-0000-0000-000007000000}" name="配置先"/>
    <tableColumn id="8" xr3:uid="{00000000-0010-0000-0000-000008000000}" name="ループ"/>
    <tableColumn id="9" xr3:uid="{00000000-0010-0000-0000-000009000000}" name="現在状態"/>
    <tableColumn id="10" xr3:uid="{00000000-0010-0000-0000-00000A000000}" name="差替日"/>
    <tableColumn id="11" xr3:uid="{00000000-0010-0000-0000-00000B000000}" name="入手元・制作者"/>
    <tableColumn id="12" xr3:uid="{00000000-0010-0000-0000-00000C000000}" name="ライセンス"/>
    <tableColumn id="13" xr3:uid="{00000000-0010-0000-0000-00000D000000}" name="音量確認"/>
    <tableColumn id="14" xr3:uid="{00000000-0010-0000-0000-00000E000000}" name="ループ確認"/>
    <tableColumn id="15" xr3:uid="{00000000-0010-0000-0000-00000F000000}" name="ゲーム内確認"/>
    <tableColumn id="16" xr3:uid="{00000000-0010-0000-0000-000010000000}" name="採用音源名"/>
    <tableColumn id="17" xr3:uid="{00000000-0010-0000-0000-000011000000}" name="備考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InventoryTable" displayName="SEInventoryTable" ref="A4:Q38">
  <tableColumns count="17">
    <tableColumn id="1" xr3:uid="{00000000-0010-0000-0100-000001000000}" name="No."/>
    <tableColumn id="2" xr3:uid="{00000000-0010-0000-0100-000002000000}" name="音量区分"/>
    <tableColumn id="3" xr3:uid="{00000000-0010-0000-0100-000003000000}" name="用途分類"/>
    <tableColumn id="4" xr3:uid="{00000000-0010-0000-0100-000004000000}" name="ファイル名"/>
    <tableColumn id="5" xr3:uid="{00000000-0010-0000-0100-000005000000}" name="用途"/>
    <tableColumn id="6" xr3:uid="{00000000-0010-0000-0100-000006000000}" name="マニフェストキー"/>
    <tableColumn id="7" xr3:uid="{00000000-0010-0000-0100-000007000000}" name="配置先"/>
    <tableColumn id="8" xr3:uid="{00000000-0010-0000-0100-000008000000}" name="クールダウン(ms)"/>
    <tableColumn id="9" xr3:uid="{00000000-0010-0000-0100-000009000000}" name="現在状態"/>
    <tableColumn id="10" xr3:uid="{00000000-0010-0000-0100-00000A000000}" name="差替日"/>
    <tableColumn id="11" xr3:uid="{00000000-0010-0000-0100-00000B000000}" name="入手元・制作者"/>
    <tableColumn id="12" xr3:uid="{00000000-0010-0000-0100-00000C000000}" name="ライセンス"/>
    <tableColumn id="13" xr3:uid="{00000000-0010-0000-0100-00000D000000}" name="音量確認"/>
    <tableColumn id="14" xr3:uid="{00000000-0010-0000-0100-00000E000000}" name="発音タイミング"/>
    <tableColumn id="15" xr3:uid="{00000000-0010-0000-0100-00000F000000}" name="ゲーム内確認"/>
    <tableColumn id="16" xr3:uid="{00000000-0010-0000-0100-000010000000}" name="採用音源名"/>
    <tableColumn id="17" xr3:uid="{00000000-0010-0000-0100-000011000000}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zoomScale="70" zoomScaleNormal="70" workbookViewId="0">
      <selection activeCell="A10" sqref="A10"/>
    </sheetView>
  </sheetViews>
  <sheetFormatPr defaultRowHeight="13.8"/>
  <cols>
    <col min="1" max="1" width="28" customWidth="1"/>
    <col min="2" max="2" width="12" customWidth="1"/>
    <col min="3" max="4" width="18" customWidth="1"/>
    <col min="5" max="5" width="15" customWidth="1"/>
    <col min="6" max="8" width="20" customWidth="1"/>
  </cols>
  <sheetData>
    <row r="1" spans="1:8" ht="27.15" customHeight="1">
      <c r="A1" s="10" t="s">
        <v>0</v>
      </c>
      <c r="B1" s="11"/>
      <c r="C1" s="11"/>
      <c r="D1" s="11"/>
      <c r="E1" s="11"/>
      <c r="F1" s="11"/>
      <c r="G1" s="11"/>
      <c r="H1" s="11"/>
    </row>
    <row r="2" spans="1:8" ht="28.8" customHeight="1">
      <c r="A2" s="12" t="s">
        <v>1</v>
      </c>
      <c r="B2" s="11"/>
      <c r="C2" s="11"/>
      <c r="D2" s="11"/>
      <c r="E2" s="11"/>
      <c r="F2" s="11"/>
      <c r="G2" s="11"/>
      <c r="H2" s="11"/>
    </row>
    <row r="4" spans="1:8">
      <c r="A4" s="17" t="s">
        <v>2</v>
      </c>
      <c r="B4" s="17"/>
      <c r="C4" s="17" t="s">
        <v>3</v>
      </c>
      <c r="D4" s="17"/>
      <c r="E4" s="17" t="s">
        <v>4</v>
      </c>
      <c r="F4" s="17"/>
      <c r="G4" s="17" t="s">
        <v>5</v>
      </c>
      <c r="H4" s="17"/>
    </row>
    <row r="5" spans="1:8">
      <c r="A5" s="15">
        <f>COUNTA(BGM一覧!$D$5:$D$46)+COUNTA(SE一覧!$D$5:$D$38)</f>
        <v>76</v>
      </c>
      <c r="B5" s="15"/>
      <c r="C5" s="15">
        <f>COUNTIF(BGM一覧!$I$5:$I$46,"差し替え済み")+COUNTIF(SE一覧!$I$5:$I$38,"差し替え済み")</f>
        <v>0</v>
      </c>
      <c r="D5" s="15"/>
      <c r="E5" s="15">
        <f>A5-C5</f>
        <v>76</v>
      </c>
      <c r="F5" s="15"/>
      <c r="G5" s="16">
        <f>IF(A5=0,0,C5/A5)</f>
        <v>0</v>
      </c>
      <c r="H5" s="15"/>
    </row>
    <row r="6" spans="1:8">
      <c r="A6" s="15"/>
      <c r="B6" s="15"/>
      <c r="C6" s="15"/>
      <c r="D6" s="15"/>
      <c r="E6" s="15"/>
      <c r="F6" s="15"/>
      <c r="G6" s="15"/>
      <c r="H6" s="15"/>
    </row>
    <row r="8" spans="1:8" ht="16.8">
      <c r="A8" s="14" t="s">
        <v>6</v>
      </c>
      <c r="B8" s="14"/>
      <c r="C8" s="14"/>
      <c r="D8" s="14"/>
      <c r="F8" s="14" t="s">
        <v>7</v>
      </c>
      <c r="G8" s="14"/>
      <c r="H8" s="14"/>
    </row>
    <row r="9" spans="1:8">
      <c r="A9" s="9" t="s">
        <v>8</v>
      </c>
      <c r="B9" s="9" t="s">
        <v>9</v>
      </c>
      <c r="C9" s="9" t="s">
        <v>10</v>
      </c>
      <c r="D9" s="9" t="s">
        <v>11</v>
      </c>
      <c r="F9" s="13" t="s">
        <v>12</v>
      </c>
      <c r="G9" s="13"/>
      <c r="H9" s="13"/>
    </row>
    <row r="10" spans="1:8">
      <c r="A10" t="s">
        <v>13</v>
      </c>
      <c r="B10">
        <f>COUNTIF(BGM一覧!$I$5:$I$46,A10)</f>
        <v>42</v>
      </c>
      <c r="C10">
        <f>COUNTIF(SE一覧!$I$5:$I$38,A10)</f>
        <v>31</v>
      </c>
      <c r="D10">
        <f t="shared" ref="D10:D15" si="0">B10+C10</f>
        <v>73</v>
      </c>
      <c r="F10" s="13"/>
      <c r="G10" s="13"/>
      <c r="H10" s="13"/>
    </row>
    <row r="11" spans="1:8">
      <c r="A11" t="s">
        <v>14</v>
      </c>
      <c r="B11">
        <f>COUNTIF(BGM一覧!$I$5:$I$46,A11)</f>
        <v>0</v>
      </c>
      <c r="C11">
        <f>COUNTIF(SE一覧!$I$5:$I$38,A11)</f>
        <v>3</v>
      </c>
      <c r="D11">
        <f t="shared" si="0"/>
        <v>3</v>
      </c>
      <c r="F11" s="13"/>
      <c r="G11" s="13"/>
      <c r="H11" s="13"/>
    </row>
    <row r="12" spans="1:8">
      <c r="A12" t="s">
        <v>15</v>
      </c>
      <c r="B12">
        <f>COUNTIF(BGM一覧!$I$5:$I$46,A12)</f>
        <v>0</v>
      </c>
      <c r="C12">
        <f>COUNTIF(SE一覧!$I$5:$I$38,A12)</f>
        <v>0</v>
      </c>
      <c r="D12">
        <f t="shared" si="0"/>
        <v>0</v>
      </c>
      <c r="F12" s="13"/>
      <c r="G12" s="13"/>
      <c r="H12" s="13"/>
    </row>
    <row r="13" spans="1:8">
      <c r="A13" t="s">
        <v>16</v>
      </c>
      <c r="B13">
        <f>COUNTIF(BGM一覧!$I$5:$I$46,A13)</f>
        <v>0</v>
      </c>
      <c r="C13">
        <f>COUNTIF(SE一覧!$I$5:$I$38,A13)</f>
        <v>0</v>
      </c>
      <c r="D13">
        <f t="shared" si="0"/>
        <v>0</v>
      </c>
      <c r="F13" s="13"/>
      <c r="G13" s="13"/>
      <c r="H13" s="13"/>
    </row>
    <row r="14" spans="1:8">
      <c r="A14" t="s">
        <v>3</v>
      </c>
      <c r="B14">
        <f>COUNTIF(BGM一覧!$I$5:$I$46,A14)</f>
        <v>0</v>
      </c>
      <c r="C14">
        <f>COUNTIF(SE一覧!$I$5:$I$38,A14)</f>
        <v>0</v>
      </c>
      <c r="D14">
        <f t="shared" si="0"/>
        <v>0</v>
      </c>
      <c r="F14" s="13"/>
      <c r="G14" s="13"/>
      <c r="H14" s="13"/>
    </row>
    <row r="15" spans="1:8">
      <c r="A15" t="s">
        <v>17</v>
      </c>
      <c r="B15">
        <f>COUNTIF(BGM一覧!$I$5:$I$46,A15)</f>
        <v>0</v>
      </c>
      <c r="C15">
        <f>COUNTIF(SE一覧!$I$5:$I$38,A15)</f>
        <v>0</v>
      </c>
      <c r="D15">
        <f t="shared" si="0"/>
        <v>0</v>
      </c>
      <c r="F15" s="13"/>
      <c r="G15" s="13"/>
      <c r="H15" s="13"/>
    </row>
    <row r="16" spans="1:8">
      <c r="F16" s="13"/>
      <c r="G16" s="13"/>
      <c r="H16" s="13"/>
    </row>
    <row r="18" spans="1:8" ht="16.8">
      <c r="A18" s="14" t="s">
        <v>18</v>
      </c>
      <c r="B18" s="14"/>
      <c r="C18" s="14"/>
      <c r="D18" s="14"/>
      <c r="E18" s="14"/>
      <c r="F18" s="14"/>
      <c r="G18" s="14"/>
      <c r="H18" s="14"/>
    </row>
    <row r="19" spans="1:8">
      <c r="A19" s="8" t="s">
        <v>19</v>
      </c>
      <c r="B19" s="8" t="s">
        <v>20</v>
      </c>
      <c r="C19" s="8" t="s">
        <v>21</v>
      </c>
    </row>
    <row r="20" spans="1:8">
      <c r="A20" t="s">
        <v>22</v>
      </c>
      <c r="B20">
        <v>36</v>
      </c>
      <c r="C20" t="s">
        <v>23</v>
      </c>
    </row>
    <row r="21" spans="1:8">
      <c r="A21" t="s">
        <v>24</v>
      </c>
      <c r="B21">
        <v>6</v>
      </c>
      <c r="C21" t="s">
        <v>23</v>
      </c>
    </row>
    <row r="22" spans="1:8">
      <c r="A22" t="s">
        <v>25</v>
      </c>
      <c r="B22">
        <v>11</v>
      </c>
      <c r="C22" t="s">
        <v>26</v>
      </c>
    </row>
    <row r="23" spans="1:8">
      <c r="A23" t="s">
        <v>27</v>
      </c>
      <c r="B23">
        <v>12</v>
      </c>
      <c r="C23" t="s">
        <v>26</v>
      </c>
    </row>
    <row r="24" spans="1:8">
      <c r="A24" t="s">
        <v>28</v>
      </c>
      <c r="B24">
        <v>11</v>
      </c>
      <c r="C24" t="s">
        <v>26</v>
      </c>
    </row>
  </sheetData>
  <mergeCells count="14">
    <mergeCell ref="A1:H1"/>
    <mergeCell ref="A2:H2"/>
    <mergeCell ref="A4:B4"/>
    <mergeCell ref="C4:D4"/>
    <mergeCell ref="E4:F4"/>
    <mergeCell ref="G4:H4"/>
    <mergeCell ref="F9:H16"/>
    <mergeCell ref="A18:H18"/>
    <mergeCell ref="A5:B6"/>
    <mergeCell ref="C5:D6"/>
    <mergeCell ref="E5:F6"/>
    <mergeCell ref="G5:H6"/>
    <mergeCell ref="A8:D8"/>
    <mergeCell ref="F8:H8"/>
  </mergeCells>
  <phoneticPr fontId="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6"/>
  <sheetViews>
    <sheetView zoomScale="55" zoomScaleNormal="55" workbookViewId="0">
      <selection sqref="A1:Q1"/>
    </sheetView>
  </sheetViews>
  <sheetFormatPr defaultRowHeight="13.8"/>
  <cols>
    <col min="1" max="1" width="6" customWidth="1"/>
    <col min="2" max="2" width="23" customWidth="1"/>
    <col min="3" max="3" width="14" customWidth="1"/>
    <col min="4" max="4" width="34" customWidth="1"/>
    <col min="5" max="5" width="24" customWidth="1"/>
    <col min="6" max="6" width="30" customWidth="1"/>
    <col min="7" max="7" width="46" customWidth="1"/>
    <col min="8" max="8" width="14" customWidth="1"/>
    <col min="9" max="9" width="20" customWidth="1"/>
    <col min="10" max="10" width="13" customWidth="1"/>
    <col min="11" max="11" width="24" customWidth="1"/>
    <col min="12" max="12" width="20" customWidth="1"/>
    <col min="13" max="13" width="14" customWidth="1"/>
    <col min="14" max="14" width="17" customWidth="1"/>
    <col min="15" max="15" width="16" customWidth="1"/>
    <col min="16" max="16" width="24" customWidth="1"/>
    <col min="17" max="17" width="34" customWidth="1"/>
  </cols>
  <sheetData>
    <row r="1" spans="1:17" ht="27.15" customHeight="1">
      <c r="A1" s="10" t="s">
        <v>29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28.8" customHeight="1">
      <c r="A2" s="12" t="s">
        <v>30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4" spans="1:17" ht="25.65" customHeight="1">
      <c r="A4" s="1" t="s">
        <v>31</v>
      </c>
      <c r="B4" s="1" t="s">
        <v>19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  <c r="M4" s="1" t="s">
        <v>42</v>
      </c>
      <c r="N4" s="1" t="s">
        <v>43</v>
      </c>
      <c r="O4" s="1" t="s">
        <v>44</v>
      </c>
      <c r="P4" s="1" t="s">
        <v>45</v>
      </c>
      <c r="Q4" s="1" t="s">
        <v>46</v>
      </c>
    </row>
    <row r="5" spans="1:17" ht="27.15" customHeight="1">
      <c r="A5" s="2">
        <v>1</v>
      </c>
      <c r="B5" s="2" t="s">
        <v>22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4" t="s">
        <v>13</v>
      </c>
      <c r="J5" s="6"/>
      <c r="K5" s="4"/>
      <c r="L5" s="4"/>
      <c r="M5" s="4" t="s">
        <v>53</v>
      </c>
      <c r="N5" s="4" t="s">
        <v>53</v>
      </c>
      <c r="O5" s="4" t="s">
        <v>53</v>
      </c>
      <c r="P5" s="4"/>
      <c r="Q5" s="4"/>
    </row>
    <row r="6" spans="1:17" ht="27.15" customHeight="1">
      <c r="A6" s="2">
        <v>2</v>
      </c>
      <c r="B6" s="2" t="s">
        <v>22</v>
      </c>
      <c r="C6" s="2" t="s">
        <v>47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52</v>
      </c>
      <c r="I6" s="4" t="s">
        <v>13</v>
      </c>
      <c r="J6" s="6"/>
      <c r="K6" s="4"/>
      <c r="L6" s="4"/>
      <c r="M6" s="4" t="s">
        <v>53</v>
      </c>
      <c r="N6" s="4" t="s">
        <v>53</v>
      </c>
      <c r="O6" s="4" t="s">
        <v>53</v>
      </c>
      <c r="P6" s="4"/>
      <c r="Q6" s="4"/>
    </row>
    <row r="7" spans="1:17" ht="27.15" customHeight="1">
      <c r="A7" s="2">
        <v>3</v>
      </c>
      <c r="B7" s="2" t="s">
        <v>22</v>
      </c>
      <c r="C7" s="2" t="s">
        <v>47</v>
      </c>
      <c r="D7" s="2" t="s">
        <v>58</v>
      </c>
      <c r="E7" s="2" t="s">
        <v>59</v>
      </c>
      <c r="F7" s="2" t="s">
        <v>60</v>
      </c>
      <c r="G7" s="2" t="s">
        <v>61</v>
      </c>
      <c r="H7" s="2" t="s">
        <v>52</v>
      </c>
      <c r="I7" s="4" t="s">
        <v>13</v>
      </c>
      <c r="J7" s="6"/>
      <c r="K7" s="4"/>
      <c r="L7" s="4"/>
      <c r="M7" s="4" t="s">
        <v>53</v>
      </c>
      <c r="N7" s="4" t="s">
        <v>53</v>
      </c>
      <c r="O7" s="4" t="s">
        <v>53</v>
      </c>
      <c r="P7" s="4"/>
      <c r="Q7" s="4"/>
    </row>
    <row r="8" spans="1:17" ht="27.15" customHeight="1">
      <c r="A8" s="2">
        <v>4</v>
      </c>
      <c r="B8" s="2" t="s">
        <v>22</v>
      </c>
      <c r="C8" s="2" t="s">
        <v>47</v>
      </c>
      <c r="D8" s="2" t="s">
        <v>62</v>
      </c>
      <c r="E8" s="2" t="s">
        <v>63</v>
      </c>
      <c r="F8" s="2" t="s">
        <v>64</v>
      </c>
      <c r="G8" s="2" t="s">
        <v>65</v>
      </c>
      <c r="H8" s="2" t="s">
        <v>52</v>
      </c>
      <c r="I8" s="4" t="s">
        <v>13</v>
      </c>
      <c r="J8" s="6"/>
      <c r="K8" s="4"/>
      <c r="L8" s="4"/>
      <c r="M8" s="4" t="s">
        <v>53</v>
      </c>
      <c r="N8" s="4" t="s">
        <v>53</v>
      </c>
      <c r="O8" s="4" t="s">
        <v>53</v>
      </c>
      <c r="P8" s="4"/>
      <c r="Q8" s="4"/>
    </row>
    <row r="9" spans="1:17" ht="27.15" customHeight="1">
      <c r="A9" s="2">
        <v>5</v>
      </c>
      <c r="B9" s="2" t="s">
        <v>22</v>
      </c>
      <c r="C9" s="2" t="s">
        <v>66</v>
      </c>
      <c r="D9" s="2" t="s">
        <v>67</v>
      </c>
      <c r="E9" s="2" t="s">
        <v>68</v>
      </c>
      <c r="F9" s="2" t="s">
        <v>69</v>
      </c>
      <c r="G9" s="2" t="s">
        <v>70</v>
      </c>
      <c r="H9" s="2" t="s">
        <v>52</v>
      </c>
      <c r="I9" s="4" t="s">
        <v>13</v>
      </c>
      <c r="J9" s="6"/>
      <c r="K9" s="4"/>
      <c r="L9" s="4"/>
      <c r="M9" s="4" t="s">
        <v>53</v>
      </c>
      <c r="N9" s="4" t="s">
        <v>53</v>
      </c>
      <c r="O9" s="4" t="s">
        <v>53</v>
      </c>
      <c r="P9" s="4"/>
      <c r="Q9" s="4"/>
    </row>
    <row r="10" spans="1:17" ht="27.15" customHeight="1">
      <c r="A10" s="2">
        <v>6</v>
      </c>
      <c r="B10" s="2" t="s">
        <v>22</v>
      </c>
      <c r="C10" s="2" t="s">
        <v>66</v>
      </c>
      <c r="D10" s="2" t="s">
        <v>71</v>
      </c>
      <c r="E10" s="2" t="s">
        <v>72</v>
      </c>
      <c r="F10" s="2" t="s">
        <v>73</v>
      </c>
      <c r="G10" s="2" t="s">
        <v>74</v>
      </c>
      <c r="H10" s="2" t="s">
        <v>52</v>
      </c>
      <c r="I10" s="4" t="s">
        <v>13</v>
      </c>
      <c r="J10" s="6"/>
      <c r="K10" s="4"/>
      <c r="L10" s="4"/>
      <c r="M10" s="4" t="s">
        <v>53</v>
      </c>
      <c r="N10" s="4" t="s">
        <v>53</v>
      </c>
      <c r="O10" s="4" t="s">
        <v>53</v>
      </c>
      <c r="P10" s="4"/>
      <c r="Q10" s="4"/>
    </row>
    <row r="11" spans="1:17" ht="27.15" customHeight="1">
      <c r="A11" s="2">
        <v>7</v>
      </c>
      <c r="B11" s="2" t="s">
        <v>22</v>
      </c>
      <c r="C11" s="2" t="s">
        <v>66</v>
      </c>
      <c r="D11" s="2" t="s">
        <v>75</v>
      </c>
      <c r="E11" s="2" t="s">
        <v>76</v>
      </c>
      <c r="F11" s="2" t="s">
        <v>77</v>
      </c>
      <c r="G11" s="2" t="s">
        <v>78</v>
      </c>
      <c r="H11" s="2" t="s">
        <v>52</v>
      </c>
      <c r="I11" s="4" t="s">
        <v>13</v>
      </c>
      <c r="J11" s="6"/>
      <c r="K11" s="4"/>
      <c r="L11" s="4"/>
      <c r="M11" s="4" t="s">
        <v>53</v>
      </c>
      <c r="N11" s="4" t="s">
        <v>53</v>
      </c>
      <c r="O11" s="4" t="s">
        <v>53</v>
      </c>
      <c r="P11" s="4"/>
      <c r="Q11" s="4"/>
    </row>
    <row r="12" spans="1:17" ht="27.15" customHeight="1">
      <c r="A12" s="2">
        <v>8</v>
      </c>
      <c r="B12" s="2" t="s">
        <v>22</v>
      </c>
      <c r="C12" s="2" t="s">
        <v>66</v>
      </c>
      <c r="D12" s="2" t="s">
        <v>79</v>
      </c>
      <c r="E12" s="2" t="s">
        <v>80</v>
      </c>
      <c r="F12" s="2" t="s">
        <v>81</v>
      </c>
      <c r="G12" s="2" t="s">
        <v>82</v>
      </c>
      <c r="H12" s="2" t="s">
        <v>52</v>
      </c>
      <c r="I12" s="4" t="s">
        <v>13</v>
      </c>
      <c r="J12" s="6"/>
      <c r="K12" s="4"/>
      <c r="L12" s="4"/>
      <c r="M12" s="4" t="s">
        <v>53</v>
      </c>
      <c r="N12" s="4" t="s">
        <v>53</v>
      </c>
      <c r="O12" s="4" t="s">
        <v>53</v>
      </c>
      <c r="P12" s="4"/>
      <c r="Q12" s="4"/>
    </row>
    <row r="13" spans="1:17" ht="27.15" customHeight="1">
      <c r="A13" s="2">
        <v>9</v>
      </c>
      <c r="B13" s="2" t="s">
        <v>22</v>
      </c>
      <c r="C13" s="2" t="s">
        <v>83</v>
      </c>
      <c r="D13" s="2" t="s">
        <v>84</v>
      </c>
      <c r="E13" s="2" t="s">
        <v>85</v>
      </c>
      <c r="F13" s="2" t="s">
        <v>86</v>
      </c>
      <c r="G13" s="2" t="s">
        <v>87</v>
      </c>
      <c r="H13" s="2" t="s">
        <v>52</v>
      </c>
      <c r="I13" s="4" t="s">
        <v>13</v>
      </c>
      <c r="J13" s="6"/>
      <c r="K13" s="4"/>
      <c r="L13" s="4"/>
      <c r="M13" s="4" t="s">
        <v>53</v>
      </c>
      <c r="N13" s="4" t="s">
        <v>53</v>
      </c>
      <c r="O13" s="4" t="s">
        <v>53</v>
      </c>
      <c r="P13" s="4"/>
      <c r="Q13" s="4"/>
    </row>
    <row r="14" spans="1:17" ht="27.15" customHeight="1">
      <c r="A14" s="2">
        <v>10</v>
      </c>
      <c r="B14" s="2" t="s">
        <v>22</v>
      </c>
      <c r="C14" s="2" t="s">
        <v>83</v>
      </c>
      <c r="D14" s="2" t="s">
        <v>88</v>
      </c>
      <c r="E14" s="2" t="s">
        <v>89</v>
      </c>
      <c r="F14" s="2" t="s">
        <v>90</v>
      </c>
      <c r="G14" s="2" t="s">
        <v>91</v>
      </c>
      <c r="H14" s="2" t="s">
        <v>52</v>
      </c>
      <c r="I14" s="4" t="s">
        <v>13</v>
      </c>
      <c r="J14" s="6"/>
      <c r="K14" s="4"/>
      <c r="L14" s="4"/>
      <c r="M14" s="4" t="s">
        <v>53</v>
      </c>
      <c r="N14" s="4" t="s">
        <v>53</v>
      </c>
      <c r="O14" s="4" t="s">
        <v>53</v>
      </c>
      <c r="P14" s="4"/>
      <c r="Q14" s="4"/>
    </row>
    <row r="15" spans="1:17" ht="27.15" customHeight="1">
      <c r="A15" s="2">
        <v>11</v>
      </c>
      <c r="B15" s="2" t="s">
        <v>22</v>
      </c>
      <c r="C15" s="2" t="s">
        <v>83</v>
      </c>
      <c r="D15" s="2" t="s">
        <v>92</v>
      </c>
      <c r="E15" s="2" t="s">
        <v>93</v>
      </c>
      <c r="F15" s="2" t="s">
        <v>94</v>
      </c>
      <c r="G15" s="2" t="s">
        <v>95</v>
      </c>
      <c r="H15" s="2" t="s">
        <v>52</v>
      </c>
      <c r="I15" s="4" t="s">
        <v>13</v>
      </c>
      <c r="J15" s="6"/>
      <c r="K15" s="4"/>
      <c r="L15" s="4"/>
      <c r="M15" s="4" t="s">
        <v>53</v>
      </c>
      <c r="N15" s="4" t="s">
        <v>53</v>
      </c>
      <c r="O15" s="4" t="s">
        <v>53</v>
      </c>
      <c r="P15" s="4"/>
      <c r="Q15" s="4"/>
    </row>
    <row r="16" spans="1:17" ht="27.15" customHeight="1">
      <c r="A16" s="2">
        <v>12</v>
      </c>
      <c r="B16" s="2" t="s">
        <v>22</v>
      </c>
      <c r="C16" s="2" t="s">
        <v>83</v>
      </c>
      <c r="D16" s="2" t="s">
        <v>96</v>
      </c>
      <c r="E16" s="2" t="s">
        <v>97</v>
      </c>
      <c r="F16" s="2" t="s">
        <v>98</v>
      </c>
      <c r="G16" s="2" t="s">
        <v>99</v>
      </c>
      <c r="H16" s="2" t="s">
        <v>52</v>
      </c>
      <c r="I16" s="4" t="s">
        <v>13</v>
      </c>
      <c r="J16" s="6"/>
      <c r="K16" s="4"/>
      <c r="L16" s="4"/>
      <c r="M16" s="4" t="s">
        <v>53</v>
      </c>
      <c r="N16" s="4" t="s">
        <v>53</v>
      </c>
      <c r="O16" s="4" t="s">
        <v>53</v>
      </c>
      <c r="P16" s="4"/>
      <c r="Q16" s="4"/>
    </row>
    <row r="17" spans="1:17" ht="27.15" customHeight="1">
      <c r="A17" s="2">
        <v>13</v>
      </c>
      <c r="B17" s="2" t="s">
        <v>22</v>
      </c>
      <c r="C17" s="2" t="s">
        <v>100</v>
      </c>
      <c r="D17" s="2" t="s">
        <v>101</v>
      </c>
      <c r="E17" s="2" t="s">
        <v>102</v>
      </c>
      <c r="F17" s="2" t="s">
        <v>103</v>
      </c>
      <c r="G17" s="2" t="s">
        <v>104</v>
      </c>
      <c r="H17" s="2" t="s">
        <v>52</v>
      </c>
      <c r="I17" s="4" t="s">
        <v>13</v>
      </c>
      <c r="J17" s="6"/>
      <c r="K17" s="4"/>
      <c r="L17" s="4"/>
      <c r="M17" s="4" t="s">
        <v>53</v>
      </c>
      <c r="N17" s="4" t="s">
        <v>53</v>
      </c>
      <c r="O17" s="4" t="s">
        <v>53</v>
      </c>
      <c r="P17" s="4"/>
      <c r="Q17" s="4"/>
    </row>
    <row r="18" spans="1:17" ht="27.15" customHeight="1">
      <c r="A18" s="2">
        <v>14</v>
      </c>
      <c r="B18" s="2" t="s">
        <v>22</v>
      </c>
      <c r="C18" s="2" t="s">
        <v>100</v>
      </c>
      <c r="D18" s="2" t="s">
        <v>105</v>
      </c>
      <c r="E18" s="2" t="s">
        <v>106</v>
      </c>
      <c r="F18" s="2" t="s">
        <v>107</v>
      </c>
      <c r="G18" s="2" t="s">
        <v>108</v>
      </c>
      <c r="H18" s="2" t="s">
        <v>52</v>
      </c>
      <c r="I18" s="4" t="s">
        <v>13</v>
      </c>
      <c r="J18" s="6"/>
      <c r="K18" s="4"/>
      <c r="L18" s="4"/>
      <c r="M18" s="4" t="s">
        <v>53</v>
      </c>
      <c r="N18" s="4" t="s">
        <v>53</v>
      </c>
      <c r="O18" s="4" t="s">
        <v>53</v>
      </c>
      <c r="P18" s="4"/>
      <c r="Q18" s="4"/>
    </row>
    <row r="19" spans="1:17" ht="27.15" customHeight="1">
      <c r="A19" s="2">
        <v>15</v>
      </c>
      <c r="B19" s="2" t="s">
        <v>22</v>
      </c>
      <c r="C19" s="2" t="s">
        <v>100</v>
      </c>
      <c r="D19" s="2" t="s">
        <v>109</v>
      </c>
      <c r="E19" s="2" t="s">
        <v>110</v>
      </c>
      <c r="F19" s="2" t="s">
        <v>111</v>
      </c>
      <c r="G19" s="2" t="s">
        <v>112</v>
      </c>
      <c r="H19" s="2" t="s">
        <v>52</v>
      </c>
      <c r="I19" s="4" t="s">
        <v>13</v>
      </c>
      <c r="J19" s="6"/>
      <c r="K19" s="4"/>
      <c r="L19" s="4"/>
      <c r="M19" s="4" t="s">
        <v>53</v>
      </c>
      <c r="N19" s="4" t="s">
        <v>53</v>
      </c>
      <c r="O19" s="4" t="s">
        <v>53</v>
      </c>
      <c r="P19" s="4"/>
      <c r="Q19" s="4"/>
    </row>
    <row r="20" spans="1:17" ht="27.15" customHeight="1">
      <c r="A20" s="2">
        <v>16</v>
      </c>
      <c r="B20" s="2" t="s">
        <v>22</v>
      </c>
      <c r="C20" s="2" t="s">
        <v>100</v>
      </c>
      <c r="D20" s="2" t="s">
        <v>113</v>
      </c>
      <c r="E20" s="2" t="s">
        <v>114</v>
      </c>
      <c r="F20" s="2" t="s">
        <v>115</v>
      </c>
      <c r="G20" s="2" t="s">
        <v>116</v>
      </c>
      <c r="H20" s="2" t="s">
        <v>52</v>
      </c>
      <c r="I20" s="4" t="s">
        <v>13</v>
      </c>
      <c r="J20" s="6"/>
      <c r="K20" s="4"/>
      <c r="L20" s="4"/>
      <c r="M20" s="4" t="s">
        <v>53</v>
      </c>
      <c r="N20" s="4" t="s">
        <v>53</v>
      </c>
      <c r="O20" s="4" t="s">
        <v>53</v>
      </c>
      <c r="P20" s="4"/>
      <c r="Q20" s="4"/>
    </row>
    <row r="21" spans="1:17" ht="27.15" customHeight="1">
      <c r="A21" s="2">
        <v>17</v>
      </c>
      <c r="B21" s="2" t="s">
        <v>22</v>
      </c>
      <c r="C21" s="2" t="s">
        <v>100</v>
      </c>
      <c r="D21" s="2" t="s">
        <v>117</v>
      </c>
      <c r="E21" s="2" t="s">
        <v>118</v>
      </c>
      <c r="F21" s="2" t="s">
        <v>119</v>
      </c>
      <c r="G21" s="2" t="s">
        <v>120</v>
      </c>
      <c r="H21" s="2" t="s">
        <v>52</v>
      </c>
      <c r="I21" s="4" t="s">
        <v>13</v>
      </c>
      <c r="J21" s="6"/>
      <c r="K21" s="4"/>
      <c r="L21" s="4"/>
      <c r="M21" s="4" t="s">
        <v>53</v>
      </c>
      <c r="N21" s="4" t="s">
        <v>53</v>
      </c>
      <c r="O21" s="4" t="s">
        <v>53</v>
      </c>
      <c r="P21" s="4"/>
      <c r="Q21" s="4"/>
    </row>
    <row r="22" spans="1:17" ht="27.15" customHeight="1">
      <c r="A22" s="2">
        <v>18</v>
      </c>
      <c r="B22" s="2" t="s">
        <v>22</v>
      </c>
      <c r="C22" s="2" t="s">
        <v>100</v>
      </c>
      <c r="D22" s="2" t="s">
        <v>121</v>
      </c>
      <c r="E22" s="2" t="s">
        <v>122</v>
      </c>
      <c r="F22" s="2" t="s">
        <v>123</v>
      </c>
      <c r="G22" s="2" t="s">
        <v>124</v>
      </c>
      <c r="H22" s="2" t="s">
        <v>52</v>
      </c>
      <c r="I22" s="4" t="s">
        <v>13</v>
      </c>
      <c r="J22" s="6"/>
      <c r="K22" s="4"/>
      <c r="L22" s="4"/>
      <c r="M22" s="4" t="s">
        <v>53</v>
      </c>
      <c r="N22" s="4" t="s">
        <v>53</v>
      </c>
      <c r="O22" s="4" t="s">
        <v>53</v>
      </c>
      <c r="P22" s="4"/>
      <c r="Q22" s="4"/>
    </row>
    <row r="23" spans="1:17" ht="27.15" customHeight="1">
      <c r="A23" s="2">
        <v>19</v>
      </c>
      <c r="B23" s="2" t="s">
        <v>22</v>
      </c>
      <c r="C23" s="2" t="s">
        <v>100</v>
      </c>
      <c r="D23" s="2" t="s">
        <v>125</v>
      </c>
      <c r="E23" s="2" t="s">
        <v>126</v>
      </c>
      <c r="F23" s="2" t="s">
        <v>127</v>
      </c>
      <c r="G23" s="2" t="s">
        <v>128</v>
      </c>
      <c r="H23" s="2" t="s">
        <v>52</v>
      </c>
      <c r="I23" s="4" t="s">
        <v>13</v>
      </c>
      <c r="J23" s="6"/>
      <c r="K23" s="4"/>
      <c r="L23" s="4"/>
      <c r="M23" s="4" t="s">
        <v>53</v>
      </c>
      <c r="N23" s="4" t="s">
        <v>53</v>
      </c>
      <c r="O23" s="4" t="s">
        <v>53</v>
      </c>
      <c r="P23" s="4"/>
      <c r="Q23" s="4"/>
    </row>
    <row r="24" spans="1:17" ht="27.15" customHeight="1">
      <c r="A24" s="2">
        <v>20</v>
      </c>
      <c r="B24" s="2" t="s">
        <v>22</v>
      </c>
      <c r="C24" s="2" t="s">
        <v>100</v>
      </c>
      <c r="D24" s="2" t="s">
        <v>129</v>
      </c>
      <c r="E24" s="2" t="s">
        <v>130</v>
      </c>
      <c r="F24" s="2" t="s">
        <v>131</v>
      </c>
      <c r="G24" s="2" t="s">
        <v>132</v>
      </c>
      <c r="H24" s="2" t="s">
        <v>52</v>
      </c>
      <c r="I24" s="4" t="s">
        <v>13</v>
      </c>
      <c r="J24" s="6"/>
      <c r="K24" s="4"/>
      <c r="L24" s="4"/>
      <c r="M24" s="4" t="s">
        <v>53</v>
      </c>
      <c r="N24" s="4" t="s">
        <v>53</v>
      </c>
      <c r="O24" s="4" t="s">
        <v>53</v>
      </c>
      <c r="P24" s="4"/>
      <c r="Q24" s="4"/>
    </row>
    <row r="25" spans="1:17" ht="27.15" customHeight="1">
      <c r="A25" s="2">
        <v>21</v>
      </c>
      <c r="B25" s="2" t="s">
        <v>22</v>
      </c>
      <c r="C25" s="2" t="s">
        <v>100</v>
      </c>
      <c r="D25" s="2" t="s">
        <v>133</v>
      </c>
      <c r="E25" s="2" t="s">
        <v>134</v>
      </c>
      <c r="F25" s="2" t="s">
        <v>135</v>
      </c>
      <c r="G25" s="2" t="s">
        <v>136</v>
      </c>
      <c r="H25" s="2" t="s">
        <v>52</v>
      </c>
      <c r="I25" s="4" t="s">
        <v>13</v>
      </c>
      <c r="J25" s="6"/>
      <c r="K25" s="4"/>
      <c r="L25" s="4"/>
      <c r="M25" s="4" t="s">
        <v>53</v>
      </c>
      <c r="N25" s="4" t="s">
        <v>53</v>
      </c>
      <c r="O25" s="4" t="s">
        <v>53</v>
      </c>
      <c r="P25" s="4"/>
      <c r="Q25" s="4"/>
    </row>
    <row r="26" spans="1:17" ht="27.15" customHeight="1">
      <c r="A26" s="2">
        <v>22</v>
      </c>
      <c r="B26" s="2" t="s">
        <v>22</v>
      </c>
      <c r="C26" s="2" t="s">
        <v>100</v>
      </c>
      <c r="D26" s="2" t="s">
        <v>137</v>
      </c>
      <c r="E26" s="2" t="s">
        <v>138</v>
      </c>
      <c r="F26" s="2" t="s">
        <v>139</v>
      </c>
      <c r="G26" s="2" t="s">
        <v>140</v>
      </c>
      <c r="H26" s="2" t="s">
        <v>52</v>
      </c>
      <c r="I26" s="4" t="s">
        <v>13</v>
      </c>
      <c r="J26" s="6"/>
      <c r="K26" s="4"/>
      <c r="L26" s="4"/>
      <c r="M26" s="4" t="s">
        <v>53</v>
      </c>
      <c r="N26" s="4" t="s">
        <v>53</v>
      </c>
      <c r="O26" s="4" t="s">
        <v>53</v>
      </c>
      <c r="P26" s="4"/>
      <c r="Q26" s="4"/>
    </row>
    <row r="27" spans="1:17" ht="27.15" customHeight="1">
      <c r="A27" s="2">
        <v>23</v>
      </c>
      <c r="B27" s="2" t="s">
        <v>22</v>
      </c>
      <c r="C27" s="2" t="s">
        <v>100</v>
      </c>
      <c r="D27" s="2" t="s">
        <v>141</v>
      </c>
      <c r="E27" s="2" t="s">
        <v>142</v>
      </c>
      <c r="F27" s="2" t="s">
        <v>143</v>
      </c>
      <c r="G27" s="2" t="s">
        <v>144</v>
      </c>
      <c r="H27" s="2" t="s">
        <v>52</v>
      </c>
      <c r="I27" s="4" t="s">
        <v>13</v>
      </c>
      <c r="J27" s="6"/>
      <c r="K27" s="4"/>
      <c r="L27" s="4"/>
      <c r="M27" s="4" t="s">
        <v>53</v>
      </c>
      <c r="N27" s="4" t="s">
        <v>53</v>
      </c>
      <c r="O27" s="4" t="s">
        <v>53</v>
      </c>
      <c r="P27" s="4"/>
      <c r="Q27" s="4"/>
    </row>
    <row r="28" spans="1:17" ht="27.15" customHeight="1">
      <c r="A28" s="2">
        <v>24</v>
      </c>
      <c r="B28" s="2" t="s">
        <v>22</v>
      </c>
      <c r="C28" s="2" t="s">
        <v>100</v>
      </c>
      <c r="D28" s="2" t="s">
        <v>145</v>
      </c>
      <c r="E28" s="2" t="s">
        <v>146</v>
      </c>
      <c r="F28" s="2" t="s">
        <v>147</v>
      </c>
      <c r="G28" s="2" t="s">
        <v>148</v>
      </c>
      <c r="H28" s="2" t="s">
        <v>52</v>
      </c>
      <c r="I28" s="4" t="s">
        <v>13</v>
      </c>
      <c r="J28" s="6"/>
      <c r="K28" s="4"/>
      <c r="L28" s="4"/>
      <c r="M28" s="4" t="s">
        <v>53</v>
      </c>
      <c r="N28" s="4" t="s">
        <v>53</v>
      </c>
      <c r="O28" s="4" t="s">
        <v>53</v>
      </c>
      <c r="P28" s="4"/>
      <c r="Q28" s="4"/>
    </row>
    <row r="29" spans="1:17" ht="27.15" customHeight="1">
      <c r="A29" s="2">
        <v>25</v>
      </c>
      <c r="B29" s="2" t="s">
        <v>22</v>
      </c>
      <c r="C29" s="2" t="s">
        <v>100</v>
      </c>
      <c r="D29" s="2" t="s">
        <v>149</v>
      </c>
      <c r="E29" s="2" t="s">
        <v>150</v>
      </c>
      <c r="F29" s="2" t="s">
        <v>151</v>
      </c>
      <c r="G29" s="2" t="s">
        <v>152</v>
      </c>
      <c r="H29" s="2" t="s">
        <v>52</v>
      </c>
      <c r="I29" s="4" t="s">
        <v>13</v>
      </c>
      <c r="J29" s="6"/>
      <c r="K29" s="4"/>
      <c r="L29" s="4"/>
      <c r="M29" s="4" t="s">
        <v>53</v>
      </c>
      <c r="N29" s="4" t="s">
        <v>53</v>
      </c>
      <c r="O29" s="4" t="s">
        <v>53</v>
      </c>
      <c r="P29" s="4"/>
      <c r="Q29" s="4"/>
    </row>
    <row r="30" spans="1:17" ht="27.15" customHeight="1">
      <c r="A30" s="2">
        <v>26</v>
      </c>
      <c r="B30" s="2" t="s">
        <v>22</v>
      </c>
      <c r="C30" s="2" t="s">
        <v>100</v>
      </c>
      <c r="D30" s="2" t="s">
        <v>153</v>
      </c>
      <c r="E30" s="2" t="s">
        <v>154</v>
      </c>
      <c r="F30" s="2" t="s">
        <v>155</v>
      </c>
      <c r="G30" s="2" t="s">
        <v>156</v>
      </c>
      <c r="H30" s="2" t="s">
        <v>52</v>
      </c>
      <c r="I30" s="4" t="s">
        <v>13</v>
      </c>
      <c r="J30" s="6"/>
      <c r="K30" s="4"/>
      <c r="L30" s="4"/>
      <c r="M30" s="4" t="s">
        <v>53</v>
      </c>
      <c r="N30" s="4" t="s">
        <v>53</v>
      </c>
      <c r="O30" s="4" t="s">
        <v>53</v>
      </c>
      <c r="P30" s="4"/>
      <c r="Q30" s="4"/>
    </row>
    <row r="31" spans="1:17" ht="27.15" customHeight="1">
      <c r="A31" s="2">
        <v>27</v>
      </c>
      <c r="B31" s="2" t="s">
        <v>22</v>
      </c>
      <c r="C31" s="2" t="s">
        <v>100</v>
      </c>
      <c r="D31" s="2" t="s">
        <v>157</v>
      </c>
      <c r="E31" s="2" t="s">
        <v>158</v>
      </c>
      <c r="F31" s="2" t="s">
        <v>159</v>
      </c>
      <c r="G31" s="2" t="s">
        <v>160</v>
      </c>
      <c r="H31" s="2" t="s">
        <v>52</v>
      </c>
      <c r="I31" s="4" t="s">
        <v>13</v>
      </c>
      <c r="J31" s="6"/>
      <c r="K31" s="4"/>
      <c r="L31" s="4"/>
      <c r="M31" s="4" t="s">
        <v>53</v>
      </c>
      <c r="N31" s="4" t="s">
        <v>53</v>
      </c>
      <c r="O31" s="4" t="s">
        <v>53</v>
      </c>
      <c r="P31" s="4"/>
      <c r="Q31" s="4"/>
    </row>
    <row r="32" spans="1:17" ht="27.15" customHeight="1">
      <c r="A32" s="2">
        <v>28</v>
      </c>
      <c r="B32" s="2" t="s">
        <v>22</v>
      </c>
      <c r="C32" s="2" t="s">
        <v>100</v>
      </c>
      <c r="D32" s="2" t="s">
        <v>161</v>
      </c>
      <c r="E32" s="2" t="s">
        <v>162</v>
      </c>
      <c r="F32" s="2" t="s">
        <v>163</v>
      </c>
      <c r="G32" s="2" t="s">
        <v>164</v>
      </c>
      <c r="H32" s="2" t="s">
        <v>52</v>
      </c>
      <c r="I32" s="4" t="s">
        <v>13</v>
      </c>
      <c r="J32" s="6"/>
      <c r="K32" s="4"/>
      <c r="L32" s="4"/>
      <c r="M32" s="4" t="s">
        <v>53</v>
      </c>
      <c r="N32" s="4" t="s">
        <v>53</v>
      </c>
      <c r="O32" s="4" t="s">
        <v>53</v>
      </c>
      <c r="P32" s="4"/>
      <c r="Q32" s="4"/>
    </row>
    <row r="33" spans="1:17" ht="27.15" customHeight="1">
      <c r="A33" s="2">
        <v>29</v>
      </c>
      <c r="B33" s="2" t="s">
        <v>22</v>
      </c>
      <c r="C33" s="2" t="s">
        <v>100</v>
      </c>
      <c r="D33" s="2" t="s">
        <v>165</v>
      </c>
      <c r="E33" s="2" t="s">
        <v>166</v>
      </c>
      <c r="F33" s="2" t="s">
        <v>167</v>
      </c>
      <c r="G33" s="2" t="s">
        <v>168</v>
      </c>
      <c r="H33" s="2" t="s">
        <v>52</v>
      </c>
      <c r="I33" s="4" t="s">
        <v>13</v>
      </c>
      <c r="J33" s="6"/>
      <c r="K33" s="4"/>
      <c r="L33" s="4"/>
      <c r="M33" s="4" t="s">
        <v>53</v>
      </c>
      <c r="N33" s="4" t="s">
        <v>53</v>
      </c>
      <c r="O33" s="4" t="s">
        <v>53</v>
      </c>
      <c r="P33" s="4"/>
      <c r="Q33" s="4"/>
    </row>
    <row r="34" spans="1:17" ht="27.15" customHeight="1">
      <c r="A34" s="2">
        <v>30</v>
      </c>
      <c r="B34" s="2" t="s">
        <v>22</v>
      </c>
      <c r="C34" s="2" t="s">
        <v>100</v>
      </c>
      <c r="D34" s="2" t="s">
        <v>169</v>
      </c>
      <c r="E34" s="2" t="s">
        <v>170</v>
      </c>
      <c r="F34" s="2" t="s">
        <v>171</v>
      </c>
      <c r="G34" s="2" t="s">
        <v>172</v>
      </c>
      <c r="H34" s="2" t="s">
        <v>52</v>
      </c>
      <c r="I34" s="4" t="s">
        <v>13</v>
      </c>
      <c r="J34" s="6"/>
      <c r="K34" s="4"/>
      <c r="L34" s="4"/>
      <c r="M34" s="4" t="s">
        <v>53</v>
      </c>
      <c r="N34" s="4" t="s">
        <v>53</v>
      </c>
      <c r="O34" s="4" t="s">
        <v>53</v>
      </c>
      <c r="P34" s="4"/>
      <c r="Q34" s="4"/>
    </row>
    <row r="35" spans="1:17" ht="27.15" customHeight="1">
      <c r="A35" s="2">
        <v>31</v>
      </c>
      <c r="B35" s="2" t="s">
        <v>22</v>
      </c>
      <c r="C35" s="2" t="s">
        <v>173</v>
      </c>
      <c r="D35" s="2" t="s">
        <v>174</v>
      </c>
      <c r="E35" s="2" t="s">
        <v>175</v>
      </c>
      <c r="F35" s="2" t="s">
        <v>176</v>
      </c>
      <c r="G35" s="2" t="s">
        <v>177</v>
      </c>
      <c r="H35" s="2" t="s">
        <v>52</v>
      </c>
      <c r="I35" s="4" t="s">
        <v>13</v>
      </c>
      <c r="J35" s="6"/>
      <c r="K35" s="4"/>
      <c r="L35" s="4"/>
      <c r="M35" s="4" t="s">
        <v>53</v>
      </c>
      <c r="N35" s="4" t="s">
        <v>53</v>
      </c>
      <c r="O35" s="4" t="s">
        <v>53</v>
      </c>
      <c r="P35" s="4"/>
      <c r="Q35" s="4"/>
    </row>
    <row r="36" spans="1:17" ht="27.15" customHeight="1">
      <c r="A36" s="2">
        <v>32</v>
      </c>
      <c r="B36" s="2" t="s">
        <v>22</v>
      </c>
      <c r="C36" s="2" t="s">
        <v>173</v>
      </c>
      <c r="D36" s="2" t="s">
        <v>178</v>
      </c>
      <c r="E36" s="2" t="s">
        <v>179</v>
      </c>
      <c r="F36" s="2" t="s">
        <v>180</v>
      </c>
      <c r="G36" s="2" t="s">
        <v>181</v>
      </c>
      <c r="H36" s="2" t="s">
        <v>52</v>
      </c>
      <c r="I36" s="4" t="s">
        <v>13</v>
      </c>
      <c r="J36" s="6"/>
      <c r="K36" s="4"/>
      <c r="L36" s="4"/>
      <c r="M36" s="4" t="s">
        <v>53</v>
      </c>
      <c r="N36" s="4" t="s">
        <v>53</v>
      </c>
      <c r="O36" s="4" t="s">
        <v>53</v>
      </c>
      <c r="P36" s="4"/>
      <c r="Q36" s="4"/>
    </row>
    <row r="37" spans="1:17" ht="27.15" customHeight="1">
      <c r="A37" s="2">
        <v>33</v>
      </c>
      <c r="B37" s="2" t="s">
        <v>22</v>
      </c>
      <c r="C37" s="2" t="s">
        <v>173</v>
      </c>
      <c r="D37" s="2" t="s">
        <v>182</v>
      </c>
      <c r="E37" s="2" t="s">
        <v>183</v>
      </c>
      <c r="F37" s="2" t="s">
        <v>184</v>
      </c>
      <c r="G37" s="2" t="s">
        <v>185</v>
      </c>
      <c r="H37" s="2" t="s">
        <v>52</v>
      </c>
      <c r="I37" s="4" t="s">
        <v>13</v>
      </c>
      <c r="J37" s="6"/>
      <c r="K37" s="4"/>
      <c r="L37" s="4"/>
      <c r="M37" s="4" t="s">
        <v>53</v>
      </c>
      <c r="N37" s="4" t="s">
        <v>53</v>
      </c>
      <c r="O37" s="4" t="s">
        <v>53</v>
      </c>
      <c r="P37" s="4"/>
      <c r="Q37" s="4"/>
    </row>
    <row r="38" spans="1:17" ht="27.15" customHeight="1">
      <c r="A38" s="2">
        <v>34</v>
      </c>
      <c r="B38" s="2" t="s">
        <v>22</v>
      </c>
      <c r="C38" s="2" t="s">
        <v>173</v>
      </c>
      <c r="D38" s="2" t="s">
        <v>186</v>
      </c>
      <c r="E38" s="2" t="s">
        <v>187</v>
      </c>
      <c r="F38" s="2" t="s">
        <v>188</v>
      </c>
      <c r="G38" s="2" t="s">
        <v>189</v>
      </c>
      <c r="H38" s="2" t="s">
        <v>52</v>
      </c>
      <c r="I38" s="4" t="s">
        <v>13</v>
      </c>
      <c r="J38" s="6"/>
      <c r="K38" s="4"/>
      <c r="L38" s="4"/>
      <c r="M38" s="4" t="s">
        <v>53</v>
      </c>
      <c r="N38" s="4" t="s">
        <v>53</v>
      </c>
      <c r="O38" s="4" t="s">
        <v>53</v>
      </c>
      <c r="P38" s="4"/>
      <c r="Q38" s="4"/>
    </row>
    <row r="39" spans="1:17" ht="27.15" customHeight="1">
      <c r="A39" s="2">
        <v>35</v>
      </c>
      <c r="B39" s="2" t="s">
        <v>22</v>
      </c>
      <c r="C39" s="2" t="s">
        <v>173</v>
      </c>
      <c r="D39" s="2" t="s">
        <v>190</v>
      </c>
      <c r="E39" s="2" t="s">
        <v>191</v>
      </c>
      <c r="F39" s="2" t="s">
        <v>192</v>
      </c>
      <c r="G39" s="2" t="s">
        <v>193</v>
      </c>
      <c r="H39" s="2" t="s">
        <v>52</v>
      </c>
      <c r="I39" s="4" t="s">
        <v>13</v>
      </c>
      <c r="J39" s="6"/>
      <c r="K39" s="4"/>
      <c r="L39" s="4"/>
      <c r="M39" s="4" t="s">
        <v>53</v>
      </c>
      <c r="N39" s="4" t="s">
        <v>53</v>
      </c>
      <c r="O39" s="4" t="s">
        <v>53</v>
      </c>
      <c r="P39" s="4"/>
      <c r="Q39" s="4"/>
    </row>
    <row r="40" spans="1:17" ht="27.15" customHeight="1">
      <c r="A40" s="2">
        <v>36</v>
      </c>
      <c r="B40" s="2" t="s">
        <v>22</v>
      </c>
      <c r="C40" s="2" t="s">
        <v>173</v>
      </c>
      <c r="D40" s="2" t="s">
        <v>194</v>
      </c>
      <c r="E40" s="2" t="s">
        <v>195</v>
      </c>
      <c r="F40" s="2" t="s">
        <v>196</v>
      </c>
      <c r="G40" s="2" t="s">
        <v>197</v>
      </c>
      <c r="H40" s="2" t="s">
        <v>52</v>
      </c>
      <c r="I40" s="4" t="s">
        <v>13</v>
      </c>
      <c r="J40" s="6"/>
      <c r="K40" s="4"/>
      <c r="L40" s="4"/>
      <c r="M40" s="4" t="s">
        <v>53</v>
      </c>
      <c r="N40" s="4" t="s">
        <v>53</v>
      </c>
      <c r="O40" s="4" t="s">
        <v>53</v>
      </c>
      <c r="P40" s="4"/>
      <c r="Q40" s="4"/>
    </row>
    <row r="41" spans="1:17" ht="27.15" customHeight="1">
      <c r="A41" s="2">
        <v>37</v>
      </c>
      <c r="B41" s="2" t="s">
        <v>24</v>
      </c>
      <c r="C41" s="2" t="s">
        <v>198</v>
      </c>
      <c r="D41" s="2" t="s">
        <v>199</v>
      </c>
      <c r="E41" s="2" t="s">
        <v>200</v>
      </c>
      <c r="F41" s="2" t="s">
        <v>201</v>
      </c>
      <c r="G41" s="2" t="s">
        <v>202</v>
      </c>
      <c r="H41" s="2" t="s">
        <v>52</v>
      </c>
      <c r="I41" s="4" t="s">
        <v>13</v>
      </c>
      <c r="J41" s="6"/>
      <c r="K41" s="4"/>
      <c r="L41" s="4"/>
      <c r="M41" s="4" t="s">
        <v>53</v>
      </c>
      <c r="N41" s="4" t="s">
        <v>53</v>
      </c>
      <c r="O41" s="4" t="s">
        <v>53</v>
      </c>
      <c r="P41" s="4"/>
      <c r="Q41" s="4"/>
    </row>
    <row r="42" spans="1:17" ht="27.15" customHeight="1">
      <c r="A42" s="2">
        <v>38</v>
      </c>
      <c r="B42" s="2" t="s">
        <v>24</v>
      </c>
      <c r="C42" s="2" t="s">
        <v>198</v>
      </c>
      <c r="D42" s="2" t="s">
        <v>203</v>
      </c>
      <c r="E42" s="2" t="s">
        <v>204</v>
      </c>
      <c r="F42" s="2" t="s">
        <v>205</v>
      </c>
      <c r="G42" s="2" t="s">
        <v>206</v>
      </c>
      <c r="H42" s="2" t="s">
        <v>52</v>
      </c>
      <c r="I42" s="4" t="s">
        <v>13</v>
      </c>
      <c r="J42" s="6"/>
      <c r="K42" s="4"/>
      <c r="L42" s="4"/>
      <c r="M42" s="4" t="s">
        <v>53</v>
      </c>
      <c r="N42" s="4" t="s">
        <v>53</v>
      </c>
      <c r="O42" s="4" t="s">
        <v>53</v>
      </c>
      <c r="P42" s="4"/>
      <c r="Q42" s="4"/>
    </row>
    <row r="43" spans="1:17" ht="27.15" customHeight="1">
      <c r="A43" s="2">
        <v>39</v>
      </c>
      <c r="B43" s="2" t="s">
        <v>24</v>
      </c>
      <c r="C43" s="2" t="s">
        <v>198</v>
      </c>
      <c r="D43" s="2" t="s">
        <v>207</v>
      </c>
      <c r="E43" s="2" t="s">
        <v>208</v>
      </c>
      <c r="F43" s="2" t="s">
        <v>209</v>
      </c>
      <c r="G43" s="2" t="s">
        <v>210</v>
      </c>
      <c r="H43" s="2" t="s">
        <v>52</v>
      </c>
      <c r="I43" s="4" t="s">
        <v>13</v>
      </c>
      <c r="J43" s="6"/>
      <c r="K43" s="4"/>
      <c r="L43" s="4"/>
      <c r="M43" s="4" t="s">
        <v>53</v>
      </c>
      <c r="N43" s="4" t="s">
        <v>53</v>
      </c>
      <c r="O43" s="4" t="s">
        <v>53</v>
      </c>
      <c r="P43" s="4"/>
      <c r="Q43" s="4"/>
    </row>
    <row r="44" spans="1:17" ht="27.15" customHeight="1">
      <c r="A44" s="2">
        <v>40</v>
      </c>
      <c r="B44" s="2" t="s">
        <v>24</v>
      </c>
      <c r="C44" s="2" t="s">
        <v>198</v>
      </c>
      <c r="D44" s="2" t="s">
        <v>211</v>
      </c>
      <c r="E44" s="2" t="s">
        <v>212</v>
      </c>
      <c r="F44" s="2" t="s">
        <v>213</v>
      </c>
      <c r="G44" s="2" t="s">
        <v>214</v>
      </c>
      <c r="H44" s="2" t="s">
        <v>52</v>
      </c>
      <c r="I44" s="4" t="s">
        <v>13</v>
      </c>
      <c r="J44" s="6"/>
      <c r="K44" s="4"/>
      <c r="L44" s="4"/>
      <c r="M44" s="4" t="s">
        <v>53</v>
      </c>
      <c r="N44" s="4" t="s">
        <v>53</v>
      </c>
      <c r="O44" s="4" t="s">
        <v>53</v>
      </c>
      <c r="P44" s="4"/>
      <c r="Q44" s="4"/>
    </row>
    <row r="45" spans="1:17" ht="27.15" customHeight="1">
      <c r="A45" s="2">
        <v>41</v>
      </c>
      <c r="B45" s="2" t="s">
        <v>24</v>
      </c>
      <c r="C45" s="2" t="s">
        <v>198</v>
      </c>
      <c r="D45" s="2" t="s">
        <v>215</v>
      </c>
      <c r="E45" s="2" t="s">
        <v>216</v>
      </c>
      <c r="F45" s="2" t="s">
        <v>217</v>
      </c>
      <c r="G45" s="2" t="s">
        <v>218</v>
      </c>
      <c r="H45" s="2" t="s">
        <v>52</v>
      </c>
      <c r="I45" s="4" t="s">
        <v>13</v>
      </c>
      <c r="J45" s="6"/>
      <c r="K45" s="4"/>
      <c r="L45" s="4"/>
      <c r="M45" s="4" t="s">
        <v>53</v>
      </c>
      <c r="N45" s="4" t="s">
        <v>53</v>
      </c>
      <c r="O45" s="4" t="s">
        <v>53</v>
      </c>
      <c r="P45" s="4"/>
      <c r="Q45" s="4"/>
    </row>
    <row r="46" spans="1:17" ht="27.15" customHeight="1">
      <c r="A46" s="3">
        <v>42</v>
      </c>
      <c r="B46" s="3" t="s">
        <v>24</v>
      </c>
      <c r="C46" s="3" t="s">
        <v>198</v>
      </c>
      <c r="D46" s="3" t="s">
        <v>219</v>
      </c>
      <c r="E46" s="3" t="s">
        <v>220</v>
      </c>
      <c r="F46" s="3" t="s">
        <v>221</v>
      </c>
      <c r="G46" s="3" t="s">
        <v>222</v>
      </c>
      <c r="H46" s="3" t="s">
        <v>52</v>
      </c>
      <c r="I46" s="5" t="s">
        <v>13</v>
      </c>
      <c r="J46" s="7"/>
      <c r="K46" s="5"/>
      <c r="L46" s="5"/>
      <c r="M46" s="5" t="s">
        <v>53</v>
      </c>
      <c r="N46" s="5" t="s">
        <v>53</v>
      </c>
      <c r="O46" s="5" t="s">
        <v>53</v>
      </c>
      <c r="P46" s="5"/>
      <c r="Q46" s="5"/>
    </row>
  </sheetData>
  <mergeCells count="2">
    <mergeCell ref="A1:Q1"/>
    <mergeCell ref="A2:Q2"/>
  </mergeCells>
  <phoneticPr fontId="9"/>
  <conditionalFormatting sqref="I5:I46">
    <cfRule type="expression" dxfId="3" priority="1">
      <formula>I5="差し替え済み"</formula>
    </cfRule>
    <cfRule type="expression" dxfId="2" priority="2">
      <formula>I5="加工中"</formula>
    </cfRule>
  </conditionalFormatting>
  <dataValidations count="2">
    <dataValidation type="list" sqref="I5:I46" xr:uid="{00000000-0002-0000-0100-000000000000}">
      <formula1>"無音プレースホルダー,候補選定中,入手済み,加工中,差し替え済み,採用見送り"</formula1>
    </dataValidation>
    <dataValidation type="list" sqref="M5:O46" xr:uid="{00000000-0002-0000-0100-000001000000}">
      <formula1>"未確認,OK,要調整,対象外"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8"/>
  <sheetViews>
    <sheetView tabSelected="1" topLeftCell="H4" zoomScale="55" zoomScaleNormal="55" workbookViewId="0">
      <selection activeCell="P9" sqref="P9"/>
    </sheetView>
  </sheetViews>
  <sheetFormatPr defaultRowHeight="13.8"/>
  <cols>
    <col min="1" max="1" width="6" customWidth="1"/>
    <col min="2" max="2" width="23" customWidth="1"/>
    <col min="3" max="3" width="14" customWidth="1"/>
    <col min="4" max="4" width="34" customWidth="1"/>
    <col min="5" max="5" width="24" customWidth="1"/>
    <col min="6" max="6" width="30" customWidth="1"/>
    <col min="7" max="7" width="46" customWidth="1"/>
    <col min="8" max="8" width="14" customWidth="1"/>
    <col min="9" max="9" width="20" customWidth="1"/>
    <col min="10" max="10" width="13" customWidth="1"/>
    <col min="11" max="11" width="24" customWidth="1"/>
    <col min="12" max="12" width="20" customWidth="1"/>
    <col min="13" max="13" width="14" customWidth="1"/>
    <col min="14" max="14" width="17" customWidth="1"/>
    <col min="15" max="15" width="16" customWidth="1"/>
    <col min="16" max="16" width="24" customWidth="1"/>
    <col min="17" max="17" width="34" customWidth="1"/>
  </cols>
  <sheetData>
    <row r="1" spans="1:17" ht="27.15" customHeight="1">
      <c r="A1" s="10" t="s">
        <v>223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28.8" customHeight="1">
      <c r="A2" s="12" t="s">
        <v>224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4" spans="1:17" ht="25.65" customHeight="1">
      <c r="A4" s="1" t="s">
        <v>31</v>
      </c>
      <c r="B4" s="1" t="s">
        <v>19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225</v>
      </c>
      <c r="I4" s="1" t="s">
        <v>38</v>
      </c>
      <c r="J4" s="1" t="s">
        <v>39</v>
      </c>
      <c r="K4" s="1" t="s">
        <v>40</v>
      </c>
      <c r="L4" s="1" t="s">
        <v>41</v>
      </c>
      <c r="M4" s="1" t="s">
        <v>42</v>
      </c>
      <c r="N4" s="1" t="s">
        <v>226</v>
      </c>
      <c r="O4" s="1" t="s">
        <v>44</v>
      </c>
      <c r="P4" s="1" t="s">
        <v>45</v>
      </c>
      <c r="Q4" s="1" t="s">
        <v>46</v>
      </c>
    </row>
    <row r="5" spans="1:17" ht="27.15" customHeight="1">
      <c r="A5" s="2">
        <v>1</v>
      </c>
      <c r="B5" s="2" t="s">
        <v>28</v>
      </c>
      <c r="C5" s="2" t="s">
        <v>227</v>
      </c>
      <c r="D5" s="2" t="s">
        <v>228</v>
      </c>
      <c r="E5" s="2" t="s">
        <v>229</v>
      </c>
      <c r="F5" s="2" t="s">
        <v>230</v>
      </c>
      <c r="G5" s="2" t="s">
        <v>231</v>
      </c>
      <c r="H5" s="2">
        <v>0</v>
      </c>
      <c r="I5" s="4" t="s">
        <v>13</v>
      </c>
      <c r="J5" s="6"/>
      <c r="K5" s="4"/>
      <c r="L5" s="4"/>
      <c r="M5" s="4" t="s">
        <v>53</v>
      </c>
      <c r="N5" s="4" t="s">
        <v>53</v>
      </c>
      <c r="O5" s="4" t="s">
        <v>53</v>
      </c>
      <c r="P5" s="4"/>
      <c r="Q5" s="4"/>
    </row>
    <row r="6" spans="1:17" ht="27.15" customHeight="1">
      <c r="A6" s="2">
        <v>2</v>
      </c>
      <c r="B6" s="2" t="s">
        <v>28</v>
      </c>
      <c r="C6" s="2" t="s">
        <v>227</v>
      </c>
      <c r="D6" s="2" t="s">
        <v>232</v>
      </c>
      <c r="E6" s="2" t="s">
        <v>233</v>
      </c>
      <c r="F6" s="2" t="s">
        <v>234</v>
      </c>
      <c r="G6" s="2" t="s">
        <v>235</v>
      </c>
      <c r="H6" s="2">
        <v>0</v>
      </c>
      <c r="I6" s="4" t="s">
        <v>13</v>
      </c>
      <c r="J6" s="6"/>
      <c r="K6" s="4"/>
      <c r="L6" s="4"/>
      <c r="M6" s="4" t="s">
        <v>53</v>
      </c>
      <c r="N6" s="4" t="s">
        <v>53</v>
      </c>
      <c r="O6" s="4" t="s">
        <v>53</v>
      </c>
      <c r="P6" s="4"/>
      <c r="Q6" s="4"/>
    </row>
    <row r="7" spans="1:17" ht="27.15" customHeight="1">
      <c r="A7" s="2">
        <v>3</v>
      </c>
      <c r="B7" s="2" t="s">
        <v>28</v>
      </c>
      <c r="C7" s="2" t="s">
        <v>227</v>
      </c>
      <c r="D7" s="2" t="s">
        <v>236</v>
      </c>
      <c r="E7" s="2" t="s">
        <v>237</v>
      </c>
      <c r="F7" s="2" t="s">
        <v>238</v>
      </c>
      <c r="G7" s="2" t="s">
        <v>239</v>
      </c>
      <c r="H7" s="2">
        <v>0</v>
      </c>
      <c r="I7" s="4" t="s">
        <v>13</v>
      </c>
      <c r="J7" s="6"/>
      <c r="K7" s="4"/>
      <c r="L7" s="4"/>
      <c r="M7" s="4" t="s">
        <v>53</v>
      </c>
      <c r="N7" s="4" t="s">
        <v>53</v>
      </c>
      <c r="O7" s="4" t="s">
        <v>53</v>
      </c>
      <c r="P7" s="4"/>
      <c r="Q7" s="4"/>
    </row>
    <row r="8" spans="1:17" ht="27.15" customHeight="1">
      <c r="A8" s="2">
        <v>4</v>
      </c>
      <c r="B8" s="2" t="s">
        <v>28</v>
      </c>
      <c r="C8" s="2" t="s">
        <v>47</v>
      </c>
      <c r="D8" s="2" t="s">
        <v>240</v>
      </c>
      <c r="E8" s="2" t="s">
        <v>241</v>
      </c>
      <c r="F8" s="2" t="s">
        <v>242</v>
      </c>
      <c r="G8" s="2" t="s">
        <v>243</v>
      </c>
      <c r="H8" s="2">
        <v>0</v>
      </c>
      <c r="I8" s="4" t="s">
        <v>13</v>
      </c>
      <c r="J8" s="6"/>
      <c r="K8" s="4"/>
      <c r="L8" s="4"/>
      <c r="M8" s="4" t="s">
        <v>53</v>
      </c>
      <c r="N8" s="4" t="s">
        <v>53</v>
      </c>
      <c r="O8" s="4" t="s">
        <v>53</v>
      </c>
      <c r="P8" s="4"/>
      <c r="Q8" s="4"/>
    </row>
    <row r="9" spans="1:17" ht="27.15" customHeight="1">
      <c r="A9" s="2">
        <v>5</v>
      </c>
      <c r="B9" s="2" t="s">
        <v>28</v>
      </c>
      <c r="C9" s="2" t="s">
        <v>47</v>
      </c>
      <c r="D9" s="2" t="s">
        <v>244</v>
      </c>
      <c r="E9" s="2" t="s">
        <v>245</v>
      </c>
      <c r="F9" s="2" t="s">
        <v>246</v>
      </c>
      <c r="G9" s="2" t="s">
        <v>247</v>
      </c>
      <c r="H9" s="2">
        <v>0</v>
      </c>
      <c r="I9" s="4" t="s">
        <v>13</v>
      </c>
      <c r="J9" s="6"/>
      <c r="K9" s="4"/>
      <c r="L9" s="4"/>
      <c r="M9" s="4" t="s">
        <v>53</v>
      </c>
      <c r="N9" s="4" t="s">
        <v>53</v>
      </c>
      <c r="O9" s="4" t="s">
        <v>53</v>
      </c>
      <c r="P9" s="4"/>
      <c r="Q9" s="4"/>
    </row>
    <row r="10" spans="1:17" ht="27.15" customHeight="1">
      <c r="A10" s="2">
        <v>6</v>
      </c>
      <c r="B10" s="2" t="s">
        <v>28</v>
      </c>
      <c r="C10" s="2" t="s">
        <v>47</v>
      </c>
      <c r="D10" s="2" t="s">
        <v>248</v>
      </c>
      <c r="E10" s="2" t="s">
        <v>249</v>
      </c>
      <c r="F10" s="2" t="s">
        <v>250</v>
      </c>
      <c r="G10" s="2" t="s">
        <v>251</v>
      </c>
      <c r="H10" s="2">
        <v>0</v>
      </c>
      <c r="I10" s="4" t="s">
        <v>13</v>
      </c>
      <c r="J10" s="6"/>
      <c r="K10" s="4"/>
      <c r="L10" s="4"/>
      <c r="M10" s="4" t="s">
        <v>53</v>
      </c>
      <c r="N10" s="4" t="s">
        <v>53</v>
      </c>
      <c r="O10" s="4" t="s">
        <v>53</v>
      </c>
      <c r="P10" s="4"/>
      <c r="Q10" s="4"/>
    </row>
    <row r="11" spans="1:17" ht="27.15" customHeight="1">
      <c r="A11" s="2">
        <v>7</v>
      </c>
      <c r="B11" s="2" t="s">
        <v>28</v>
      </c>
      <c r="C11" s="2" t="s">
        <v>47</v>
      </c>
      <c r="D11" s="2" t="s">
        <v>252</v>
      </c>
      <c r="E11" s="2" t="s">
        <v>253</v>
      </c>
      <c r="F11" s="2" t="s">
        <v>254</v>
      </c>
      <c r="G11" s="2" t="s">
        <v>255</v>
      </c>
      <c r="H11" s="2">
        <v>0</v>
      </c>
      <c r="I11" s="4" t="s">
        <v>13</v>
      </c>
      <c r="J11" s="6"/>
      <c r="K11" s="4"/>
      <c r="L11" s="4"/>
      <c r="M11" s="4" t="s">
        <v>53</v>
      </c>
      <c r="N11" s="4" t="s">
        <v>53</v>
      </c>
      <c r="O11" s="4" t="s">
        <v>53</v>
      </c>
      <c r="P11" s="4"/>
      <c r="Q11" s="4"/>
    </row>
    <row r="12" spans="1:17" ht="27.15" customHeight="1">
      <c r="A12" s="2">
        <v>8</v>
      </c>
      <c r="B12" s="2" t="s">
        <v>28</v>
      </c>
      <c r="C12" s="2" t="s">
        <v>47</v>
      </c>
      <c r="D12" s="2" t="s">
        <v>256</v>
      </c>
      <c r="E12" s="2" t="s">
        <v>257</v>
      </c>
      <c r="F12" s="2" t="s">
        <v>258</v>
      </c>
      <c r="G12" s="2" t="s">
        <v>259</v>
      </c>
      <c r="H12" s="2">
        <v>120</v>
      </c>
      <c r="I12" s="4" t="s">
        <v>13</v>
      </c>
      <c r="J12" s="6"/>
      <c r="K12" s="4"/>
      <c r="L12" s="4"/>
      <c r="M12" s="4" t="s">
        <v>53</v>
      </c>
      <c r="N12" s="4" t="s">
        <v>53</v>
      </c>
      <c r="O12" s="4" t="s">
        <v>53</v>
      </c>
      <c r="P12" s="4"/>
      <c r="Q12" s="4"/>
    </row>
    <row r="13" spans="1:17" ht="27.15" customHeight="1">
      <c r="A13" s="2">
        <v>9</v>
      </c>
      <c r="B13" s="2" t="s">
        <v>28</v>
      </c>
      <c r="C13" s="2" t="s">
        <v>47</v>
      </c>
      <c r="D13" s="2" t="s">
        <v>260</v>
      </c>
      <c r="E13" s="2" t="s">
        <v>261</v>
      </c>
      <c r="F13" s="2" t="s">
        <v>262</v>
      </c>
      <c r="G13" s="2" t="s">
        <v>263</v>
      </c>
      <c r="H13" s="2">
        <v>0</v>
      </c>
      <c r="I13" s="4" t="s">
        <v>13</v>
      </c>
      <c r="J13" s="6"/>
      <c r="K13" s="4"/>
      <c r="L13" s="4"/>
      <c r="M13" s="4" t="s">
        <v>53</v>
      </c>
      <c r="N13" s="4" t="s">
        <v>53</v>
      </c>
      <c r="O13" s="4" t="s">
        <v>53</v>
      </c>
      <c r="P13" s="4"/>
      <c r="Q13" s="4"/>
    </row>
    <row r="14" spans="1:17" ht="27.15" customHeight="1">
      <c r="A14" s="2">
        <v>10</v>
      </c>
      <c r="B14" s="2" t="s">
        <v>28</v>
      </c>
      <c r="C14" s="2" t="s">
        <v>47</v>
      </c>
      <c r="D14" s="2" t="s">
        <v>264</v>
      </c>
      <c r="E14" s="2" t="s">
        <v>265</v>
      </c>
      <c r="F14" s="2" t="s">
        <v>266</v>
      </c>
      <c r="G14" s="2" t="s">
        <v>267</v>
      </c>
      <c r="H14" s="2">
        <v>100</v>
      </c>
      <c r="I14" s="4" t="s">
        <v>13</v>
      </c>
      <c r="J14" s="6"/>
      <c r="K14" s="4"/>
      <c r="L14" s="4"/>
      <c r="M14" s="4" t="s">
        <v>53</v>
      </c>
      <c r="N14" s="4" t="s">
        <v>53</v>
      </c>
      <c r="O14" s="4" t="s">
        <v>53</v>
      </c>
      <c r="P14" s="4"/>
      <c r="Q14" s="4"/>
    </row>
    <row r="15" spans="1:17" ht="27.15" customHeight="1">
      <c r="A15" s="2">
        <v>11</v>
      </c>
      <c r="B15" s="2" t="s">
        <v>28</v>
      </c>
      <c r="C15" s="2" t="s">
        <v>47</v>
      </c>
      <c r="D15" s="2" t="s">
        <v>268</v>
      </c>
      <c r="E15" s="2" t="s">
        <v>269</v>
      </c>
      <c r="F15" s="2" t="s">
        <v>270</v>
      </c>
      <c r="G15" s="2" t="s">
        <v>368</v>
      </c>
      <c r="H15" s="2">
        <v>130</v>
      </c>
      <c r="I15" s="4" t="s">
        <v>14</v>
      </c>
      <c r="J15" s="6">
        <v>46228</v>
      </c>
      <c r="K15" s="4" t="s">
        <v>364</v>
      </c>
      <c r="L15" s="4"/>
      <c r="M15" s="4" t="s">
        <v>53</v>
      </c>
      <c r="N15" s="4" t="s">
        <v>365</v>
      </c>
      <c r="O15" s="4" t="s">
        <v>365</v>
      </c>
      <c r="P15" s="19" t="s">
        <v>367</v>
      </c>
      <c r="Q15" s="4"/>
    </row>
    <row r="16" spans="1:17" ht="27.15" customHeight="1">
      <c r="A16" s="2">
        <v>12</v>
      </c>
      <c r="B16" s="2" t="s">
        <v>25</v>
      </c>
      <c r="C16" s="2" t="s">
        <v>271</v>
      </c>
      <c r="D16" s="2" t="s">
        <v>272</v>
      </c>
      <c r="E16" s="2" t="s">
        <v>273</v>
      </c>
      <c r="F16" s="2" t="s">
        <v>274</v>
      </c>
      <c r="G16" s="2" t="s">
        <v>275</v>
      </c>
      <c r="H16" s="2">
        <v>35</v>
      </c>
      <c r="I16" s="4" t="s">
        <v>14</v>
      </c>
      <c r="J16" s="6">
        <v>46228</v>
      </c>
      <c r="K16" s="4" t="s">
        <v>364</v>
      </c>
      <c r="L16" s="4"/>
      <c r="M16" s="4" t="s">
        <v>53</v>
      </c>
      <c r="N16" s="4" t="s">
        <v>365</v>
      </c>
      <c r="O16" s="4" t="s">
        <v>365</v>
      </c>
      <c r="P16" s="18" t="s">
        <v>369</v>
      </c>
      <c r="Q16" s="4"/>
    </row>
    <row r="17" spans="1:17" ht="27.15" customHeight="1">
      <c r="A17" s="2">
        <v>13</v>
      </c>
      <c r="B17" s="2" t="s">
        <v>25</v>
      </c>
      <c r="C17" s="2" t="s">
        <v>271</v>
      </c>
      <c r="D17" s="2" t="s">
        <v>276</v>
      </c>
      <c r="E17" s="2" t="s">
        <v>277</v>
      </c>
      <c r="F17" s="2" t="s">
        <v>278</v>
      </c>
      <c r="G17" s="2" t="s">
        <v>279</v>
      </c>
      <c r="H17" s="2">
        <v>35</v>
      </c>
      <c r="I17" s="4" t="s">
        <v>14</v>
      </c>
      <c r="J17" s="6">
        <v>46228</v>
      </c>
      <c r="K17" s="4" t="s">
        <v>364</v>
      </c>
      <c r="L17" s="4"/>
      <c r="M17" s="4" t="s">
        <v>53</v>
      </c>
      <c r="N17" s="4" t="s">
        <v>365</v>
      </c>
      <c r="O17" s="4" t="s">
        <v>365</v>
      </c>
      <c r="P17" s="4" t="s">
        <v>366</v>
      </c>
      <c r="Q17" s="4"/>
    </row>
    <row r="18" spans="1:17" ht="27.15" customHeight="1">
      <c r="A18" s="2">
        <v>14</v>
      </c>
      <c r="B18" s="2" t="s">
        <v>25</v>
      </c>
      <c r="C18" s="2" t="s">
        <v>271</v>
      </c>
      <c r="D18" s="2" t="s">
        <v>280</v>
      </c>
      <c r="E18" s="2" t="s">
        <v>281</v>
      </c>
      <c r="F18" s="2" t="s">
        <v>282</v>
      </c>
      <c r="G18" s="2" t="s">
        <v>283</v>
      </c>
      <c r="H18" s="2">
        <v>45</v>
      </c>
      <c r="I18" s="4" t="s">
        <v>13</v>
      </c>
      <c r="J18" s="6"/>
      <c r="K18" s="4"/>
      <c r="L18" s="4"/>
      <c r="M18" s="4" t="s">
        <v>53</v>
      </c>
      <c r="N18" s="4" t="s">
        <v>53</v>
      </c>
      <c r="O18" s="4" t="s">
        <v>53</v>
      </c>
      <c r="P18" s="4"/>
      <c r="Q18" s="4"/>
    </row>
    <row r="19" spans="1:17" ht="27.15" customHeight="1">
      <c r="A19" s="2">
        <v>15</v>
      </c>
      <c r="B19" s="2" t="s">
        <v>25</v>
      </c>
      <c r="C19" s="2" t="s">
        <v>271</v>
      </c>
      <c r="D19" s="2" t="s">
        <v>284</v>
      </c>
      <c r="E19" s="2" t="s">
        <v>285</v>
      </c>
      <c r="F19" s="2" t="s">
        <v>286</v>
      </c>
      <c r="G19" s="2" t="s">
        <v>287</v>
      </c>
      <c r="H19" s="2">
        <v>45</v>
      </c>
      <c r="I19" s="4" t="s">
        <v>13</v>
      </c>
      <c r="J19" s="6"/>
      <c r="K19" s="4"/>
      <c r="L19" s="4"/>
      <c r="M19" s="4" t="s">
        <v>53</v>
      </c>
      <c r="N19" s="4" t="s">
        <v>53</v>
      </c>
      <c r="O19" s="4" t="s">
        <v>53</v>
      </c>
      <c r="P19" s="4"/>
      <c r="Q19" s="4"/>
    </row>
    <row r="20" spans="1:17" ht="27.15" customHeight="1">
      <c r="A20" s="2">
        <v>16</v>
      </c>
      <c r="B20" s="2" t="s">
        <v>25</v>
      </c>
      <c r="C20" s="2" t="s">
        <v>271</v>
      </c>
      <c r="D20" s="2" t="s">
        <v>288</v>
      </c>
      <c r="E20" s="2" t="s">
        <v>289</v>
      </c>
      <c r="F20" s="2" t="s">
        <v>290</v>
      </c>
      <c r="G20" s="2" t="s">
        <v>291</v>
      </c>
      <c r="H20" s="2">
        <v>45</v>
      </c>
      <c r="I20" s="4" t="s">
        <v>13</v>
      </c>
      <c r="J20" s="6"/>
      <c r="K20" s="4"/>
      <c r="L20" s="4"/>
      <c r="M20" s="4" t="s">
        <v>53</v>
      </c>
      <c r="N20" s="4" t="s">
        <v>53</v>
      </c>
      <c r="O20" s="4" t="s">
        <v>53</v>
      </c>
      <c r="P20" s="4"/>
      <c r="Q20" s="4"/>
    </row>
    <row r="21" spans="1:17" ht="27.15" customHeight="1">
      <c r="A21" s="2">
        <v>17</v>
      </c>
      <c r="B21" s="2" t="s">
        <v>25</v>
      </c>
      <c r="C21" s="2" t="s">
        <v>271</v>
      </c>
      <c r="D21" s="2" t="s">
        <v>292</v>
      </c>
      <c r="E21" s="2" t="s">
        <v>293</v>
      </c>
      <c r="F21" s="2" t="s">
        <v>294</v>
      </c>
      <c r="G21" s="2" t="s">
        <v>295</v>
      </c>
      <c r="H21" s="2">
        <v>45</v>
      </c>
      <c r="I21" s="4" t="s">
        <v>13</v>
      </c>
      <c r="J21" s="6"/>
      <c r="K21" s="4"/>
      <c r="L21" s="4"/>
      <c r="M21" s="4" t="s">
        <v>53</v>
      </c>
      <c r="N21" s="4" t="s">
        <v>53</v>
      </c>
      <c r="O21" s="4" t="s">
        <v>53</v>
      </c>
      <c r="P21" s="4"/>
      <c r="Q21" s="4"/>
    </row>
    <row r="22" spans="1:17" ht="27.15" customHeight="1">
      <c r="A22" s="2">
        <v>18</v>
      </c>
      <c r="B22" s="2" t="s">
        <v>25</v>
      </c>
      <c r="C22" s="2" t="s">
        <v>271</v>
      </c>
      <c r="D22" s="2" t="s">
        <v>296</v>
      </c>
      <c r="E22" s="2" t="s">
        <v>297</v>
      </c>
      <c r="F22" s="2" t="s">
        <v>298</v>
      </c>
      <c r="G22" s="2" t="s">
        <v>299</v>
      </c>
      <c r="H22" s="2">
        <v>45</v>
      </c>
      <c r="I22" s="4" t="s">
        <v>13</v>
      </c>
      <c r="J22" s="6"/>
      <c r="K22" s="4"/>
      <c r="L22" s="4"/>
      <c r="M22" s="4" t="s">
        <v>53</v>
      </c>
      <c r="N22" s="4" t="s">
        <v>53</v>
      </c>
      <c r="O22" s="4" t="s">
        <v>53</v>
      </c>
      <c r="P22" s="4"/>
      <c r="Q22" s="4"/>
    </row>
    <row r="23" spans="1:17" ht="27.15" customHeight="1">
      <c r="A23" s="2">
        <v>19</v>
      </c>
      <c r="B23" s="2" t="s">
        <v>25</v>
      </c>
      <c r="C23" s="2" t="s">
        <v>271</v>
      </c>
      <c r="D23" s="2" t="s">
        <v>300</v>
      </c>
      <c r="E23" s="2" t="s">
        <v>301</v>
      </c>
      <c r="F23" s="2" t="s">
        <v>302</v>
      </c>
      <c r="G23" s="2" t="s">
        <v>303</v>
      </c>
      <c r="H23" s="2">
        <v>0</v>
      </c>
      <c r="I23" s="4" t="s">
        <v>13</v>
      </c>
      <c r="J23" s="6"/>
      <c r="K23" s="4"/>
      <c r="L23" s="4"/>
      <c r="M23" s="4" t="s">
        <v>53</v>
      </c>
      <c r="N23" s="4" t="s">
        <v>53</v>
      </c>
      <c r="O23" s="4" t="s">
        <v>53</v>
      </c>
      <c r="P23" s="4"/>
      <c r="Q23" s="4"/>
    </row>
    <row r="24" spans="1:17" ht="27.15" customHeight="1">
      <c r="A24" s="2">
        <v>20</v>
      </c>
      <c r="B24" s="2" t="s">
        <v>25</v>
      </c>
      <c r="C24" s="2" t="s">
        <v>271</v>
      </c>
      <c r="D24" s="2" t="s">
        <v>304</v>
      </c>
      <c r="E24" s="2" t="s">
        <v>305</v>
      </c>
      <c r="F24" s="2" t="s">
        <v>306</v>
      </c>
      <c r="G24" s="2" t="s">
        <v>307</v>
      </c>
      <c r="H24" s="2">
        <v>0</v>
      </c>
      <c r="I24" s="4" t="s">
        <v>13</v>
      </c>
      <c r="J24" s="6"/>
      <c r="K24" s="4"/>
      <c r="L24" s="4"/>
      <c r="M24" s="4" t="s">
        <v>53</v>
      </c>
      <c r="N24" s="4" t="s">
        <v>53</v>
      </c>
      <c r="O24" s="4" t="s">
        <v>53</v>
      </c>
      <c r="P24" s="4"/>
      <c r="Q24" s="4"/>
    </row>
    <row r="25" spans="1:17" ht="27.15" customHeight="1">
      <c r="A25" s="2">
        <v>21</v>
      </c>
      <c r="B25" s="2" t="s">
        <v>25</v>
      </c>
      <c r="C25" s="2" t="s">
        <v>271</v>
      </c>
      <c r="D25" s="2" t="s">
        <v>308</v>
      </c>
      <c r="E25" s="2" t="s">
        <v>309</v>
      </c>
      <c r="F25" s="2" t="s">
        <v>310</v>
      </c>
      <c r="G25" s="2" t="s">
        <v>311</v>
      </c>
      <c r="H25" s="2">
        <v>45</v>
      </c>
      <c r="I25" s="4" t="s">
        <v>13</v>
      </c>
      <c r="J25" s="6"/>
      <c r="K25" s="4"/>
      <c r="L25" s="4"/>
      <c r="M25" s="4" t="s">
        <v>53</v>
      </c>
      <c r="N25" s="4" t="s">
        <v>53</v>
      </c>
      <c r="O25" s="4" t="s">
        <v>53</v>
      </c>
      <c r="P25" s="4"/>
      <c r="Q25" s="4"/>
    </row>
    <row r="26" spans="1:17" ht="27.15" customHeight="1">
      <c r="A26" s="2">
        <v>22</v>
      </c>
      <c r="B26" s="2" t="s">
        <v>25</v>
      </c>
      <c r="C26" s="2" t="s">
        <v>271</v>
      </c>
      <c r="D26" s="2" t="s">
        <v>312</v>
      </c>
      <c r="E26" s="2" t="s">
        <v>313</v>
      </c>
      <c r="F26" s="2" t="s">
        <v>314</v>
      </c>
      <c r="G26" s="2" t="s">
        <v>315</v>
      </c>
      <c r="H26" s="2">
        <v>45</v>
      </c>
      <c r="I26" s="4" t="s">
        <v>13</v>
      </c>
      <c r="J26" s="6"/>
      <c r="K26" s="4"/>
      <c r="L26" s="4"/>
      <c r="M26" s="4" t="s">
        <v>53</v>
      </c>
      <c r="N26" s="4" t="s">
        <v>53</v>
      </c>
      <c r="O26" s="4" t="s">
        <v>53</v>
      </c>
      <c r="P26" s="4"/>
      <c r="Q26" s="4"/>
    </row>
    <row r="27" spans="1:17" ht="27.15" customHeight="1">
      <c r="A27" s="2">
        <v>23</v>
      </c>
      <c r="B27" s="2" t="s">
        <v>27</v>
      </c>
      <c r="C27" s="2" t="s">
        <v>198</v>
      </c>
      <c r="D27" s="2" t="s">
        <v>316</v>
      </c>
      <c r="E27" s="2" t="s">
        <v>317</v>
      </c>
      <c r="F27" s="2" t="s">
        <v>318</v>
      </c>
      <c r="G27" s="2" t="s">
        <v>319</v>
      </c>
      <c r="H27" s="2">
        <v>0</v>
      </c>
      <c r="I27" s="4" t="s">
        <v>13</v>
      </c>
      <c r="J27" s="6"/>
      <c r="K27" s="4"/>
      <c r="L27" s="4"/>
      <c r="M27" s="4" t="s">
        <v>53</v>
      </c>
      <c r="N27" s="4" t="s">
        <v>53</v>
      </c>
      <c r="O27" s="4" t="s">
        <v>53</v>
      </c>
      <c r="P27" s="4"/>
      <c r="Q27" s="4"/>
    </row>
    <row r="28" spans="1:17" ht="27.15" customHeight="1">
      <c r="A28" s="2">
        <v>24</v>
      </c>
      <c r="B28" s="2" t="s">
        <v>27</v>
      </c>
      <c r="C28" s="2" t="s">
        <v>198</v>
      </c>
      <c r="D28" s="2" t="s">
        <v>320</v>
      </c>
      <c r="E28" s="2" t="s">
        <v>321</v>
      </c>
      <c r="F28" s="2" t="s">
        <v>322</v>
      </c>
      <c r="G28" s="2" t="s">
        <v>323</v>
      </c>
      <c r="H28" s="2">
        <v>45</v>
      </c>
      <c r="I28" s="4" t="s">
        <v>13</v>
      </c>
      <c r="J28" s="6"/>
      <c r="K28" s="4"/>
      <c r="L28" s="4"/>
      <c r="M28" s="4" t="s">
        <v>53</v>
      </c>
      <c r="N28" s="4" t="s">
        <v>53</v>
      </c>
      <c r="O28" s="4" t="s">
        <v>53</v>
      </c>
      <c r="P28" s="4"/>
      <c r="Q28" s="4"/>
    </row>
    <row r="29" spans="1:17" ht="27.15" customHeight="1">
      <c r="A29" s="2">
        <v>25</v>
      </c>
      <c r="B29" s="2" t="s">
        <v>27</v>
      </c>
      <c r="C29" s="2" t="s">
        <v>198</v>
      </c>
      <c r="D29" s="2" t="s">
        <v>324</v>
      </c>
      <c r="E29" s="2" t="s">
        <v>325</v>
      </c>
      <c r="F29" s="2" t="s">
        <v>326</v>
      </c>
      <c r="G29" s="2" t="s">
        <v>327</v>
      </c>
      <c r="H29" s="2">
        <v>45</v>
      </c>
      <c r="I29" s="4" t="s">
        <v>13</v>
      </c>
      <c r="J29" s="6"/>
      <c r="K29" s="4"/>
      <c r="L29" s="4"/>
      <c r="M29" s="4" t="s">
        <v>53</v>
      </c>
      <c r="N29" s="4" t="s">
        <v>53</v>
      </c>
      <c r="O29" s="4" t="s">
        <v>53</v>
      </c>
      <c r="P29" s="4"/>
      <c r="Q29" s="4"/>
    </row>
    <row r="30" spans="1:17" ht="27.15" customHeight="1">
      <c r="A30" s="2">
        <v>26</v>
      </c>
      <c r="B30" s="2" t="s">
        <v>27</v>
      </c>
      <c r="C30" s="2" t="s">
        <v>198</v>
      </c>
      <c r="D30" s="2" t="s">
        <v>328</v>
      </c>
      <c r="E30" s="2" t="s">
        <v>329</v>
      </c>
      <c r="F30" s="2" t="s">
        <v>330</v>
      </c>
      <c r="G30" s="2" t="s">
        <v>331</v>
      </c>
      <c r="H30" s="2">
        <v>45</v>
      </c>
      <c r="I30" s="4" t="s">
        <v>13</v>
      </c>
      <c r="J30" s="6"/>
      <c r="K30" s="4"/>
      <c r="L30" s="4"/>
      <c r="M30" s="4" t="s">
        <v>53</v>
      </c>
      <c r="N30" s="4" t="s">
        <v>53</v>
      </c>
      <c r="O30" s="4" t="s">
        <v>53</v>
      </c>
      <c r="P30" s="4"/>
      <c r="Q30" s="4"/>
    </row>
    <row r="31" spans="1:17" ht="27.15" customHeight="1">
      <c r="A31" s="2">
        <v>27</v>
      </c>
      <c r="B31" s="2" t="s">
        <v>27</v>
      </c>
      <c r="C31" s="2" t="s">
        <v>198</v>
      </c>
      <c r="D31" s="2" t="s">
        <v>332</v>
      </c>
      <c r="E31" s="2" t="s">
        <v>333</v>
      </c>
      <c r="F31" s="2" t="s">
        <v>334</v>
      </c>
      <c r="G31" s="2" t="s">
        <v>335</v>
      </c>
      <c r="H31" s="2">
        <v>45</v>
      </c>
      <c r="I31" s="4" t="s">
        <v>13</v>
      </c>
      <c r="J31" s="6"/>
      <c r="K31" s="4"/>
      <c r="L31" s="4"/>
      <c r="M31" s="4" t="s">
        <v>53</v>
      </c>
      <c r="N31" s="4" t="s">
        <v>53</v>
      </c>
      <c r="O31" s="4" t="s">
        <v>53</v>
      </c>
      <c r="P31" s="4"/>
      <c r="Q31" s="4"/>
    </row>
    <row r="32" spans="1:17" ht="27.15" customHeight="1">
      <c r="A32" s="2">
        <v>28</v>
      </c>
      <c r="B32" s="2" t="s">
        <v>27</v>
      </c>
      <c r="C32" s="2" t="s">
        <v>198</v>
      </c>
      <c r="D32" s="2" t="s">
        <v>336</v>
      </c>
      <c r="E32" s="2" t="s">
        <v>337</v>
      </c>
      <c r="F32" s="2" t="s">
        <v>338</v>
      </c>
      <c r="G32" s="2" t="s">
        <v>339</v>
      </c>
      <c r="H32" s="2">
        <v>45</v>
      </c>
      <c r="I32" s="4" t="s">
        <v>13</v>
      </c>
      <c r="J32" s="6"/>
      <c r="K32" s="4"/>
      <c r="L32" s="4"/>
      <c r="M32" s="4" t="s">
        <v>53</v>
      </c>
      <c r="N32" s="4" t="s">
        <v>53</v>
      </c>
      <c r="O32" s="4" t="s">
        <v>53</v>
      </c>
      <c r="P32" s="4"/>
      <c r="Q32" s="4"/>
    </row>
    <row r="33" spans="1:17" ht="27.15" customHeight="1">
      <c r="A33" s="2">
        <v>29</v>
      </c>
      <c r="B33" s="2" t="s">
        <v>27</v>
      </c>
      <c r="C33" s="2" t="s">
        <v>198</v>
      </c>
      <c r="D33" s="2" t="s">
        <v>340</v>
      </c>
      <c r="E33" s="2" t="s">
        <v>341</v>
      </c>
      <c r="F33" s="2" t="s">
        <v>342</v>
      </c>
      <c r="G33" s="2" t="s">
        <v>343</v>
      </c>
      <c r="H33" s="2">
        <v>45</v>
      </c>
      <c r="I33" s="4" t="s">
        <v>13</v>
      </c>
      <c r="J33" s="6"/>
      <c r="K33" s="4"/>
      <c r="L33" s="4"/>
      <c r="M33" s="4" t="s">
        <v>53</v>
      </c>
      <c r="N33" s="4" t="s">
        <v>53</v>
      </c>
      <c r="O33" s="4" t="s">
        <v>53</v>
      </c>
      <c r="P33" s="4"/>
      <c r="Q33" s="4"/>
    </row>
    <row r="34" spans="1:17" ht="27.15" customHeight="1">
      <c r="A34" s="2">
        <v>30</v>
      </c>
      <c r="B34" s="2" t="s">
        <v>27</v>
      </c>
      <c r="C34" s="2" t="s">
        <v>198</v>
      </c>
      <c r="D34" s="2" t="s">
        <v>344</v>
      </c>
      <c r="E34" s="2" t="s">
        <v>345</v>
      </c>
      <c r="F34" s="2" t="s">
        <v>346</v>
      </c>
      <c r="G34" s="2" t="s">
        <v>347</v>
      </c>
      <c r="H34" s="2">
        <v>35</v>
      </c>
      <c r="I34" s="4" t="s">
        <v>13</v>
      </c>
      <c r="J34" s="6"/>
      <c r="K34" s="4"/>
      <c r="L34" s="4"/>
      <c r="M34" s="4" t="s">
        <v>53</v>
      </c>
      <c r="N34" s="4" t="s">
        <v>53</v>
      </c>
      <c r="O34" s="4" t="s">
        <v>53</v>
      </c>
      <c r="P34" s="4"/>
      <c r="Q34" s="4"/>
    </row>
    <row r="35" spans="1:17" ht="27.15" customHeight="1">
      <c r="A35" s="2">
        <v>31</v>
      </c>
      <c r="B35" s="2" t="s">
        <v>27</v>
      </c>
      <c r="C35" s="2" t="s">
        <v>198</v>
      </c>
      <c r="D35" s="2" t="s">
        <v>348</v>
      </c>
      <c r="E35" s="2" t="s">
        <v>349</v>
      </c>
      <c r="F35" s="2" t="s">
        <v>350</v>
      </c>
      <c r="G35" s="2" t="s">
        <v>351</v>
      </c>
      <c r="H35" s="2">
        <v>70</v>
      </c>
      <c r="I35" s="4" t="s">
        <v>13</v>
      </c>
      <c r="J35" s="6"/>
      <c r="K35" s="4"/>
      <c r="L35" s="4"/>
      <c r="M35" s="4" t="s">
        <v>53</v>
      </c>
      <c r="N35" s="4" t="s">
        <v>53</v>
      </c>
      <c r="O35" s="4" t="s">
        <v>53</v>
      </c>
      <c r="P35" s="4"/>
      <c r="Q35" s="4"/>
    </row>
    <row r="36" spans="1:17" ht="27.15" customHeight="1">
      <c r="A36" s="2">
        <v>32</v>
      </c>
      <c r="B36" s="2" t="s">
        <v>27</v>
      </c>
      <c r="C36" s="2" t="s">
        <v>198</v>
      </c>
      <c r="D36" s="2" t="s">
        <v>352</v>
      </c>
      <c r="E36" s="2" t="s">
        <v>353</v>
      </c>
      <c r="F36" s="2" t="s">
        <v>354</v>
      </c>
      <c r="G36" s="2" t="s">
        <v>355</v>
      </c>
      <c r="H36" s="2">
        <v>45</v>
      </c>
      <c r="I36" s="4" t="s">
        <v>13</v>
      </c>
      <c r="J36" s="6"/>
      <c r="K36" s="4"/>
      <c r="L36" s="4"/>
      <c r="M36" s="4" t="s">
        <v>53</v>
      </c>
      <c r="N36" s="4" t="s">
        <v>53</v>
      </c>
      <c r="O36" s="4" t="s">
        <v>53</v>
      </c>
      <c r="P36" s="4"/>
      <c r="Q36" s="4"/>
    </row>
    <row r="37" spans="1:17" ht="27.15" customHeight="1">
      <c r="A37" s="2">
        <v>33</v>
      </c>
      <c r="B37" s="2" t="s">
        <v>27</v>
      </c>
      <c r="C37" s="2" t="s">
        <v>198</v>
      </c>
      <c r="D37" s="2" t="s">
        <v>356</v>
      </c>
      <c r="E37" s="2" t="s">
        <v>357</v>
      </c>
      <c r="F37" s="2" t="s">
        <v>358</v>
      </c>
      <c r="G37" s="2" t="s">
        <v>359</v>
      </c>
      <c r="H37" s="2">
        <v>0</v>
      </c>
      <c r="I37" s="4" t="s">
        <v>13</v>
      </c>
      <c r="J37" s="6"/>
      <c r="K37" s="4"/>
      <c r="L37" s="4"/>
      <c r="M37" s="4" t="s">
        <v>53</v>
      </c>
      <c r="N37" s="4" t="s">
        <v>53</v>
      </c>
      <c r="O37" s="4" t="s">
        <v>53</v>
      </c>
      <c r="P37" s="4"/>
      <c r="Q37" s="4"/>
    </row>
    <row r="38" spans="1:17" ht="27.15" customHeight="1">
      <c r="A38" s="3">
        <v>34</v>
      </c>
      <c r="B38" s="3" t="s">
        <v>27</v>
      </c>
      <c r="C38" s="3" t="s">
        <v>198</v>
      </c>
      <c r="D38" s="3" t="s">
        <v>360</v>
      </c>
      <c r="E38" s="3" t="s">
        <v>361</v>
      </c>
      <c r="F38" s="3" t="s">
        <v>362</v>
      </c>
      <c r="G38" s="3" t="s">
        <v>363</v>
      </c>
      <c r="H38" s="3">
        <v>0</v>
      </c>
      <c r="I38" s="5" t="s">
        <v>13</v>
      </c>
      <c r="J38" s="7"/>
      <c r="K38" s="5"/>
      <c r="L38" s="5"/>
      <c r="M38" s="5" t="s">
        <v>53</v>
      </c>
      <c r="N38" s="5" t="s">
        <v>53</v>
      </c>
      <c r="O38" s="5" t="s">
        <v>53</v>
      </c>
      <c r="P38" s="5"/>
      <c r="Q38" s="5"/>
    </row>
  </sheetData>
  <mergeCells count="2">
    <mergeCell ref="A1:Q1"/>
    <mergeCell ref="A2:Q2"/>
  </mergeCells>
  <phoneticPr fontId="9"/>
  <conditionalFormatting sqref="I5:I38">
    <cfRule type="expression" dxfId="1" priority="1">
      <formula>I5="差し替え済み"</formula>
    </cfRule>
    <cfRule type="expression" dxfId="0" priority="2">
      <formula>I5="加工中"</formula>
    </cfRule>
  </conditionalFormatting>
  <dataValidations count="2">
    <dataValidation type="list" sqref="I5:I38" xr:uid="{00000000-0002-0000-0200-000000000000}">
      <formula1>"無音プレースホルダー,候補選定中,入手済み,加工中,差し替え済み,採用見送り"</formula1>
    </dataValidation>
    <dataValidation type="list" sqref="M5:O38" xr:uid="{00000000-0002-0000-0200-000001000000}">
      <formula1>"未確認,OK,要調整,対象外"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管理サマリー</vt:lpstr>
      <vt:lpstr>BGM一覧</vt:lpstr>
      <vt:lpstr>SE一覧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surface yuu</cp:lastModifiedBy>
  <dcterms:modified xsi:type="dcterms:W3CDTF">2026-07-25T06:32:24Z</dcterms:modified>
</cp:coreProperties>
</file>